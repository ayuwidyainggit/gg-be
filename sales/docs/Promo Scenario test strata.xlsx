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ata not sequentail reward %" sheetId="1" r:id="rId4"/>
    <sheet state="visible" name="Strata sequentail reward %" sheetId="2" r:id="rId5"/>
    <sheet state="visible" name="Strata not sequentail reward fi" sheetId="3" r:id="rId6"/>
    <sheet state="visible" name="Sheet3" sheetId="4" r:id="rId7"/>
    <sheet state="visible" name="Strata not sequential Product Q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M25">
      <text>
        <t xml:space="preserve">
</t>
      </text>
    </comment>
    <comment authorId="0" ref="BP26">
      <text>
        <t xml:space="preserve">meskipun strata 4 seharusnya mendapatkan reward sejumlah 4 tetapi karena di strata ini produk D hanya cover 1 produk akibat produk  E kekurangan stock maka di promo 4 hanya hitung (selling price x qty award di produk D)
	-Muhammad syafiq</t>
      </text>
    </comment>
    <comment authorId="0" ref="BP25">
      <text>
        <t xml:space="preserve">karena stock hanya tersisa 3 (available qty-strata1-stra 2-strata 3) maka di strata 4 yang seharusnya dapat 4 menjadi hanya dapat 3 . Sisa 1 produk dicover oleh produk D
	-Muhammad syafiq</t>
      </text>
    </comment>
  </commentList>
</comments>
</file>

<file path=xl/sharedStrings.xml><?xml version="1.0" encoding="utf-8"?>
<sst xmlns="http://schemas.openxmlformats.org/spreadsheetml/2006/main" count="2080" uniqueCount="87">
  <si>
    <t>Happy Case</t>
  </si>
  <si>
    <t>ORDER MENCUKUPI MENDAPATKAN 5 STRATA</t>
  </si>
  <si>
    <t>Negative Case</t>
  </si>
  <si>
    <t>ORDER TIDAK MEMENUHI SYARAT STRATA 1</t>
  </si>
  <si>
    <t>order memenuhi syarat dan total reward tidak melebihi maximal reward peroutlet</t>
  </si>
  <si>
    <t>order memenuhi syarat tetapi total reward melebihi maximal reward peroutlet</t>
  </si>
  <si>
    <t>order memenuhi syarat dan total reward tidak melebihi remaining budget</t>
  </si>
  <si>
    <t>order memenuhi syarat tetapi total reward  melebihi remaining budget</t>
  </si>
  <si>
    <t>maximal limit invoice belum terpenuhi (total invoice - return) &lt;= maximal limit imvoice</t>
  </si>
  <si>
    <t>Negative case</t>
  </si>
  <si>
    <t>maximal limit invoice sama dengan atau lebih dari limit invoice (total invoice - return) &gt;= maximal limit imvoice</t>
  </si>
  <si>
    <t>promo tidak eligible karena min Buy SKU tidak terpenuhi</t>
  </si>
  <si>
    <t>promo tidak eligible karena mandatory SKU tidak terpenuhi</t>
  </si>
  <si>
    <t>Mekanisme promo</t>
  </si>
  <si>
    <t>Reward</t>
  </si>
  <si>
    <t>Strata 1</t>
  </si>
  <si>
    <t>Strata 2</t>
  </si>
  <si>
    <t>Strata 3</t>
  </si>
  <si>
    <t>Strata 4</t>
  </si>
  <si>
    <t>Strata 5</t>
  </si>
  <si>
    <t>Product Price</t>
  </si>
  <si>
    <t>code-name</t>
  </si>
  <si>
    <t>selling price</t>
  </si>
  <si>
    <t>outlet price</t>
  </si>
  <si>
    <t>manual price</t>
  </si>
  <si>
    <t>Mandatory</t>
  </si>
  <si>
    <t>Min Buy</t>
  </si>
  <si>
    <t>Produk A</t>
  </si>
  <si>
    <t>Yes</t>
  </si>
  <si>
    <t>Produk B</t>
  </si>
  <si>
    <t>No</t>
  </si>
  <si>
    <t>Product C</t>
  </si>
  <si>
    <t>Maximal reward peroutlet</t>
  </si>
  <si>
    <t>remaining budget promo</t>
  </si>
  <si>
    <t>Maximal Limit Invoice</t>
  </si>
  <si>
    <t>Total Invoice dgn Id promo tsb</t>
  </si>
  <si>
    <t>Total return dgn Id promo tsb</t>
  </si>
  <si>
    <t>Min Buy sku</t>
  </si>
  <si>
    <t>INV001</t>
  </si>
  <si>
    <t>QTY Order</t>
  </si>
  <si>
    <t>Price</t>
  </si>
  <si>
    <t>Gross Value</t>
  </si>
  <si>
    <t>Promo 1</t>
  </si>
  <si>
    <t>Promo 2</t>
  </si>
  <si>
    <t>Promo 3</t>
  </si>
  <si>
    <t>Promo 4</t>
  </si>
  <si>
    <t>Promo 5</t>
  </si>
  <si>
    <t>Nett Value</t>
  </si>
  <si>
    <t>Eligible Promo 1</t>
  </si>
  <si>
    <t>Eligible Promo 2</t>
  </si>
  <si>
    <t>Eligible Promo 3</t>
  </si>
  <si>
    <t>Eligible Promo 4</t>
  </si>
  <si>
    <t>Eligible Promo 5</t>
  </si>
  <si>
    <t>Contoh</t>
  </si>
  <si>
    <t>Produk C</t>
  </si>
  <si>
    <t>Produk D</t>
  </si>
  <si>
    <t>Produk E</t>
  </si>
  <si>
    <t>Total Gross</t>
  </si>
  <si>
    <t>Promo Uang</t>
  </si>
  <si>
    <t>Order tidak mendapatkan promo karena meskipun Mandatory produk terpenuhi (Produk A) dan Min Buy Produk A (5) tetapi syarat Min Buy SKU tidak terpenuhi</t>
  </si>
  <si>
    <t>Order tidak mendapatkan promo karena meskipun Min Buy Sku terpenuhi tetapi karena Syarat Mandatory produk (harus ada produk A minimal 5) tidak terpenuhi</t>
  </si>
  <si>
    <t>Order tidak mendapatkan promo karena meskipun Min Buy Sku terpenuhi, Syarat Mandatory produk terpenuhi tetapi min buy produk B dan C tidak terpenuhi</t>
  </si>
  <si>
    <t>PPN</t>
  </si>
  <si>
    <t>Nilai Order</t>
  </si>
  <si>
    <t>Happy case</t>
  </si>
  <si>
    <t>Order mencukupi syarat 5 strata dan available qty mencukupi qty reward</t>
  </si>
  <si>
    <t>Negatif Case</t>
  </si>
  <si>
    <t>Order mencukupi syarat 5 strata tetapi available qty tidak mencukupi qty reward</t>
  </si>
  <si>
    <t>Order mencukupi syarat 5 strata, available qty mencukupi qty reward dan total reward promo lebih kecil dari Maximum reward QTY</t>
  </si>
  <si>
    <t>Order mencukupi syarat 5 strata, available qty mencukupi qty reward tetapi total reward promo lebih besar dari Maximum reward QTY</t>
  </si>
  <si>
    <t>Order mencukupi syarat 5 strata, available qty mencukupi qty reward tetapi nilai produk promo lebih besar dari nilai maximum reward per outlet</t>
  </si>
  <si>
    <t>Happy  Case</t>
  </si>
  <si>
    <t>Order mencukupi syarat 5 strata, available qty produk promosi mencukupi total reward product</t>
  </si>
  <si>
    <t>Product Reward</t>
  </si>
  <si>
    <t>Available QTY</t>
  </si>
  <si>
    <t>Product E</t>
  </si>
  <si>
    <t>Product D</t>
  </si>
  <si>
    <t>Maximum reward per outlet</t>
  </si>
  <si>
    <t>Reward yang sudah diperoleh</t>
  </si>
  <si>
    <t>*Produk D</t>
  </si>
  <si>
    <t>*Produk E</t>
  </si>
  <si>
    <t>Promo tidak eligible karena total gross value barang promo 1.500.000 (reward qty x selling price) melebihi remaining reward (1.300.000)</t>
  </si>
  <si>
    <t>karena total reward 15 sedangkan qty product E hanya 9 maka sisa 6 reward productnya dicover oleh produk D</t>
  </si>
  <si>
    <t>Promo barang</t>
  </si>
  <si>
    <t>Di Strata 4 seharusnya reward 4 tapi karena sisa stock produk E hanya 3 setelah dikurangi strata 1-5 maka kontibusi strata 4 dibagi menjadi</t>
  </si>
  <si>
    <t>3 dari produk E dan 1 dari produk D</t>
  </si>
  <si>
    <t>BARU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</si>
</sst>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6AA84F"/>
      <name val="Arial"/>
      <scheme val="minor"/>
    </font>
    <font>
      <color rgb="FF000000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0" fillId="0" fontId="3" numFmtId="3" xfId="0" applyAlignment="1" applyFont="1" applyNumberFormat="1">
      <alignment readingOrder="0" vertical="bottom"/>
    </xf>
    <xf borderId="0" fillId="0" fontId="3" numFmtId="9" xfId="0" applyAlignment="1" applyFont="1" applyNumberFormat="1">
      <alignment horizontal="right" readingOrder="0" vertical="bottom"/>
    </xf>
    <xf borderId="0" fillId="0" fontId="3" numFmtId="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2" numFmtId="3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1" fillId="0" fontId="3" numFmtId="3" xfId="0" applyAlignment="1" applyBorder="1" applyFont="1" applyNumberFormat="1">
      <alignment readingOrder="0" vertical="bottom"/>
    </xf>
    <xf borderId="2" fillId="0" fontId="2" numFmtId="9" xfId="0" applyAlignment="1" applyBorder="1" applyFont="1" applyNumberFormat="1">
      <alignment readingOrder="0"/>
    </xf>
    <xf borderId="0" fillId="0" fontId="3" numFmtId="9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3" numFmtId="9" xfId="0" applyAlignment="1" applyFont="1" applyNumberFormat="1">
      <alignment readingOrder="0" vertical="bottom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2" fillId="0" fontId="2" numFmtId="3" xfId="0" applyAlignment="1" applyBorder="1" applyFont="1" applyNumberFormat="1">
      <alignment readingOrder="0"/>
    </xf>
    <xf borderId="1" fillId="0" fontId="2" numFmtId="0" xfId="0" applyBorder="1" applyFont="1"/>
    <xf borderId="0" fillId="0" fontId="1" numFmtId="3" xfId="0" applyAlignment="1" applyFont="1" applyNumberFormat="1">
      <alignment readingOrder="0"/>
    </xf>
    <xf borderId="1" fillId="0" fontId="2" numFmtId="3" xfId="0" applyAlignment="1" applyBorder="1" applyFont="1" applyNumberFormat="1">
      <alignment readingOrder="0"/>
    </xf>
    <xf borderId="0" fillId="0" fontId="2" numFmtId="0" xfId="0" applyFont="1"/>
    <xf borderId="0" fillId="0" fontId="2" numFmtId="3" xfId="0" applyAlignment="1" applyFont="1" applyNumberFormat="1">
      <alignment horizontal="right" readingOrder="0"/>
    </xf>
    <xf borderId="0" fillId="0" fontId="2" numFmtId="3" xfId="0" applyFont="1" applyNumberFormat="1"/>
    <xf borderId="0" fillId="0" fontId="4" numFmtId="0" xfId="0" applyFont="1"/>
    <xf borderId="0" fillId="0" fontId="4" numFmtId="3" xfId="0" applyAlignment="1" applyFont="1" applyNumberFormat="1">
      <alignment readingOrder="0"/>
    </xf>
    <xf borderId="3" fillId="0" fontId="2" numFmtId="0" xfId="0" applyBorder="1" applyFont="1"/>
    <xf borderId="3" fillId="0" fontId="2" numFmtId="0" xfId="0" applyAlignment="1" applyBorder="1" applyFont="1">
      <alignment readingOrder="0"/>
    </xf>
    <xf borderId="4" fillId="0" fontId="2" numFmtId="0" xfId="0" applyBorder="1" applyFont="1"/>
    <xf borderId="3" fillId="0" fontId="2" numFmtId="3" xfId="0" applyAlignment="1" applyBorder="1" applyFont="1" applyNumberFormat="1">
      <alignment readingOrder="0"/>
    </xf>
    <xf borderId="5" fillId="0" fontId="2" numFmtId="0" xfId="0" applyBorder="1" applyFont="1"/>
    <xf borderId="3" fillId="0" fontId="2" numFmtId="3" xfId="0" applyBorder="1" applyFont="1" applyNumberFormat="1"/>
    <xf borderId="6" fillId="0" fontId="2" numFmtId="0" xfId="0" applyBorder="1" applyFont="1"/>
    <xf borderId="0" fillId="0" fontId="5" numFmtId="3" xfId="0" applyFont="1" applyNumberFormat="1"/>
    <xf borderId="0" fillId="0" fontId="3" numFmtId="3" xfId="0" applyAlignment="1" applyFont="1" applyNumberFormat="1">
      <alignment horizontal="right" vertical="bottom"/>
    </xf>
    <xf borderId="1" fillId="0" fontId="1" numFmtId="3" xfId="0" applyAlignment="1" applyBorder="1" applyFont="1" applyNumberFormat="1">
      <alignment readingOrder="0"/>
    </xf>
    <xf borderId="1" fillId="0" fontId="3" numFmtId="3" xfId="0" applyAlignment="1" applyBorder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1" fillId="0" fontId="6" numFmtId="0" xfId="0" applyAlignment="1" applyBorder="1" applyFont="1">
      <alignment readingOrder="0" vertical="bottom"/>
    </xf>
    <xf borderId="0" fillId="0" fontId="6" numFmtId="3" xfId="0" applyAlignment="1" applyFont="1" applyNumberFormat="1">
      <alignment horizontal="right" readingOrder="0" vertical="bottom"/>
    </xf>
    <xf borderId="0" fillId="0" fontId="2" numFmtId="3" xfId="0" applyAlignment="1" applyFont="1" applyNumberFormat="1">
      <alignment horizontal="right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9" max="9" width="8.75"/>
    <col customWidth="1" min="10" max="10" width="11.0"/>
    <col customWidth="1" min="11" max="11" width="13.13"/>
    <col customWidth="1" min="12" max="12" width="10.88"/>
    <col customWidth="1" min="13" max="13" width="12.13"/>
    <col customWidth="1" min="14" max="14" width="11.75"/>
    <col customWidth="1" min="15" max="15" width="8.75"/>
    <col customWidth="1" min="16" max="16" width="11.0"/>
    <col customWidth="1" min="17" max="18" width="8.75"/>
    <col customWidth="1" min="19" max="19" width="7.25"/>
    <col customWidth="1" min="26" max="26" width="14.5"/>
    <col customWidth="1" min="27" max="27" width="11.63"/>
    <col customWidth="1" min="28" max="28" width="25.13"/>
    <col customWidth="1" min="41" max="41" width="9.0"/>
    <col customWidth="1" min="42" max="42" width="18.25"/>
    <col customWidth="1" min="43" max="43" width="9.5"/>
    <col customWidth="1" min="44" max="44" width="10.25"/>
    <col customWidth="1" min="45" max="45" width="11.75"/>
    <col customWidth="1" min="46" max="46" width="13.13"/>
    <col customWidth="1" min="47" max="47" width="9.0"/>
    <col customWidth="1" min="48" max="48" width="13.13"/>
    <col customWidth="1" min="49" max="49" width="9.0"/>
    <col customWidth="1" min="50" max="50" width="13.13"/>
    <col customWidth="1" min="51" max="51" width="8.5"/>
    <col customWidth="1" min="52" max="52" width="13.13"/>
    <col customWidth="1" min="60" max="60" width="14.5"/>
  </cols>
  <sheetData>
    <row r="1">
      <c r="A1" s="1" t="s">
        <v>0</v>
      </c>
      <c r="B1" s="2" t="s">
        <v>1</v>
      </c>
      <c r="J1" s="1"/>
      <c r="M1" s="3" t="s">
        <v>2</v>
      </c>
      <c r="N1" s="2" t="s">
        <v>3</v>
      </c>
      <c r="V1" s="1"/>
      <c r="Y1" s="3" t="s">
        <v>0</v>
      </c>
      <c r="Z1" s="2" t="s">
        <v>4</v>
      </c>
      <c r="AM1" s="1"/>
      <c r="AO1" s="4"/>
      <c r="AP1" s="1" t="s">
        <v>2</v>
      </c>
      <c r="AQ1" s="2" t="s">
        <v>5</v>
      </c>
      <c r="BD1" s="1"/>
      <c r="BF1" s="4"/>
      <c r="BG1" s="3" t="s">
        <v>0</v>
      </c>
      <c r="BH1" s="2" t="s">
        <v>6</v>
      </c>
      <c r="BU1" s="1"/>
      <c r="BW1" s="4"/>
      <c r="BX1" s="3" t="s">
        <v>2</v>
      </c>
      <c r="BY1" s="2" t="s">
        <v>7</v>
      </c>
      <c r="CL1" s="1"/>
      <c r="CN1" s="4"/>
      <c r="CO1" s="3" t="s">
        <v>0</v>
      </c>
      <c r="CP1" s="2" t="s">
        <v>8</v>
      </c>
      <c r="DC1" s="1"/>
      <c r="DE1" s="4"/>
      <c r="DF1" s="1" t="s">
        <v>9</v>
      </c>
      <c r="DG1" s="2" t="s">
        <v>10</v>
      </c>
      <c r="DT1" s="1"/>
      <c r="DV1" s="4"/>
      <c r="DW1" s="3" t="s">
        <v>2</v>
      </c>
      <c r="DX1" s="2" t="s">
        <v>11</v>
      </c>
      <c r="EM1" s="4"/>
      <c r="EN1" s="3" t="s">
        <v>2</v>
      </c>
      <c r="EO1" s="2" t="s">
        <v>12</v>
      </c>
      <c r="FD1" s="4"/>
      <c r="FE1" s="3" t="s">
        <v>2</v>
      </c>
      <c r="FF1" s="2" t="s">
        <v>12</v>
      </c>
      <c r="FU1" s="4"/>
    </row>
    <row r="2">
      <c r="A2" s="1" t="s">
        <v>13</v>
      </c>
      <c r="E2" s="1" t="s">
        <v>14</v>
      </c>
      <c r="J2" s="1"/>
      <c r="M2" s="3" t="s">
        <v>13</v>
      </c>
      <c r="Q2" s="1" t="s">
        <v>14</v>
      </c>
      <c r="V2" s="1"/>
      <c r="Y2" s="3" t="s">
        <v>13</v>
      </c>
      <c r="AC2" s="1" t="s">
        <v>14</v>
      </c>
      <c r="AM2" s="1"/>
      <c r="AO2" s="4"/>
      <c r="AP2" s="1" t="s">
        <v>13</v>
      </c>
      <c r="AT2" s="1" t="s">
        <v>14</v>
      </c>
      <c r="BD2" s="1"/>
      <c r="BF2" s="4"/>
      <c r="BG2" s="3" t="s">
        <v>13</v>
      </c>
      <c r="BK2" s="1" t="s">
        <v>14</v>
      </c>
      <c r="BU2" s="1"/>
      <c r="BW2" s="4"/>
      <c r="BX2" s="3" t="s">
        <v>13</v>
      </c>
      <c r="CB2" s="1" t="s">
        <v>14</v>
      </c>
      <c r="CL2" s="1"/>
      <c r="CN2" s="4"/>
      <c r="CO2" s="3" t="s">
        <v>13</v>
      </c>
      <c r="CS2" s="1" t="s">
        <v>14</v>
      </c>
      <c r="DC2" s="1"/>
      <c r="DE2" s="4"/>
      <c r="DF2" s="3" t="s">
        <v>13</v>
      </c>
      <c r="DJ2" s="1" t="s">
        <v>14</v>
      </c>
      <c r="DT2" s="1"/>
      <c r="DV2" s="4"/>
      <c r="DW2" s="3" t="s">
        <v>13</v>
      </c>
      <c r="EA2" s="1" t="s">
        <v>14</v>
      </c>
      <c r="EM2" s="4"/>
      <c r="EN2" s="3" t="s">
        <v>13</v>
      </c>
      <c r="ER2" s="1" t="s">
        <v>14</v>
      </c>
      <c r="FD2" s="4"/>
      <c r="FE2" s="3" t="s">
        <v>13</v>
      </c>
      <c r="FI2" s="1" t="s">
        <v>14</v>
      </c>
      <c r="FU2" s="4"/>
    </row>
    <row r="3">
      <c r="A3" s="5" t="s">
        <v>15</v>
      </c>
      <c r="B3" s="5">
        <v>3000000.0</v>
      </c>
      <c r="C3" s="5">
        <v>5000000.0</v>
      </c>
      <c r="D3" s="5"/>
      <c r="E3" s="6">
        <v>0.01</v>
      </c>
      <c r="F3" s="7"/>
      <c r="G3" s="8"/>
      <c r="H3" s="8"/>
      <c r="J3" s="9"/>
      <c r="K3" s="9"/>
      <c r="L3" s="10"/>
      <c r="M3" s="11" t="s">
        <v>15</v>
      </c>
      <c r="N3" s="5">
        <v>3000000.0</v>
      </c>
      <c r="O3" s="5">
        <v>5000000.0</v>
      </c>
      <c r="P3" s="5"/>
      <c r="Q3" s="6">
        <v>0.01</v>
      </c>
      <c r="R3" s="7"/>
      <c r="S3" s="8"/>
      <c r="T3" s="8"/>
      <c r="V3" s="9"/>
      <c r="W3" s="9"/>
      <c r="X3" s="10"/>
      <c r="Y3" s="11" t="s">
        <v>15</v>
      </c>
      <c r="Z3" s="5">
        <v>3000000.0</v>
      </c>
      <c r="AA3" s="5">
        <v>5000000.0</v>
      </c>
      <c r="AB3" s="5"/>
      <c r="AC3" s="6">
        <v>0.01</v>
      </c>
      <c r="AD3" s="7"/>
      <c r="AE3" s="7"/>
      <c r="AF3" s="8"/>
      <c r="AG3" s="8"/>
      <c r="AH3" s="8"/>
      <c r="AI3" s="8"/>
      <c r="AJ3" s="8"/>
      <c r="AM3" s="9"/>
      <c r="AN3" s="9"/>
      <c r="AO3" s="12"/>
      <c r="AP3" s="5" t="s">
        <v>15</v>
      </c>
      <c r="AQ3" s="5">
        <v>3000000.0</v>
      </c>
      <c r="AR3" s="5">
        <v>5000000.0</v>
      </c>
      <c r="AS3" s="5"/>
      <c r="AT3" s="6">
        <v>0.01</v>
      </c>
      <c r="AU3" s="7"/>
      <c r="AV3" s="7"/>
      <c r="AW3" s="8"/>
      <c r="AX3" s="8"/>
      <c r="AY3" s="8"/>
      <c r="AZ3" s="8"/>
      <c r="BA3" s="8"/>
      <c r="BD3" s="9"/>
      <c r="BE3" s="9"/>
      <c r="BF3" s="12"/>
      <c r="BG3" s="11" t="s">
        <v>15</v>
      </c>
      <c r="BH3" s="5">
        <v>3000000.0</v>
      </c>
      <c r="BI3" s="5">
        <v>5000000.0</v>
      </c>
      <c r="BJ3" s="5"/>
      <c r="BK3" s="6">
        <v>0.01</v>
      </c>
      <c r="BL3" s="7"/>
      <c r="BM3" s="7"/>
      <c r="BN3" s="8"/>
      <c r="BO3" s="8"/>
      <c r="BP3" s="8"/>
      <c r="BQ3" s="8"/>
      <c r="BR3" s="8"/>
      <c r="BU3" s="9"/>
      <c r="BV3" s="9"/>
      <c r="BW3" s="12"/>
      <c r="BX3" s="11" t="s">
        <v>15</v>
      </c>
      <c r="BY3" s="5">
        <v>3000000.0</v>
      </c>
      <c r="BZ3" s="5">
        <v>5000000.0</v>
      </c>
      <c r="CA3" s="5"/>
      <c r="CB3" s="6">
        <v>0.01</v>
      </c>
      <c r="CC3" s="7"/>
      <c r="CD3" s="7"/>
      <c r="CE3" s="8"/>
      <c r="CF3" s="8"/>
      <c r="CG3" s="8"/>
      <c r="CH3" s="8"/>
      <c r="CI3" s="8"/>
      <c r="CL3" s="9"/>
      <c r="CM3" s="9"/>
      <c r="CN3" s="12"/>
      <c r="CO3" s="11" t="s">
        <v>15</v>
      </c>
      <c r="CP3" s="5">
        <v>3000000.0</v>
      </c>
      <c r="CQ3" s="5">
        <v>5000000.0</v>
      </c>
      <c r="CR3" s="5"/>
      <c r="CS3" s="6">
        <v>0.01</v>
      </c>
      <c r="CT3" s="7"/>
      <c r="CU3" s="7"/>
      <c r="CV3" s="8"/>
      <c r="CW3" s="8"/>
      <c r="CX3" s="8"/>
      <c r="CY3" s="8"/>
      <c r="CZ3" s="8"/>
      <c r="DC3" s="9"/>
      <c r="DD3" s="9"/>
      <c r="DE3" s="12"/>
      <c r="DF3" s="11" t="s">
        <v>15</v>
      </c>
      <c r="DG3" s="5">
        <v>3000000.0</v>
      </c>
      <c r="DH3" s="5">
        <v>5000000.0</v>
      </c>
      <c r="DI3" s="5"/>
      <c r="DJ3" s="6">
        <v>0.01</v>
      </c>
      <c r="DK3" s="7"/>
      <c r="DL3" s="7"/>
      <c r="DM3" s="8"/>
      <c r="DN3" s="8"/>
      <c r="DO3" s="8"/>
      <c r="DP3" s="8"/>
      <c r="DQ3" s="8"/>
      <c r="DT3" s="9"/>
      <c r="DU3" s="9"/>
      <c r="DV3" s="12"/>
      <c r="DW3" s="11" t="s">
        <v>15</v>
      </c>
      <c r="DX3" s="5">
        <v>3000000.0</v>
      </c>
      <c r="DY3" s="5">
        <v>5000000.0</v>
      </c>
      <c r="DZ3" s="5"/>
      <c r="EA3" s="6">
        <v>0.01</v>
      </c>
      <c r="EB3" s="7"/>
      <c r="EC3" s="7"/>
      <c r="ED3" s="10"/>
      <c r="EE3" s="10"/>
      <c r="EF3" s="10"/>
      <c r="EG3" s="10"/>
      <c r="EH3" s="10"/>
      <c r="EI3" s="10"/>
      <c r="EJ3" s="10"/>
      <c r="EK3" s="10"/>
      <c r="EL3" s="10"/>
      <c r="EM3" s="12"/>
      <c r="EN3" s="11" t="s">
        <v>15</v>
      </c>
      <c r="EO3" s="5">
        <v>3000000.0</v>
      </c>
      <c r="EP3" s="5">
        <v>5000000.0</v>
      </c>
      <c r="EQ3" s="5"/>
      <c r="ER3" s="6">
        <v>0.01</v>
      </c>
      <c r="ES3" s="7"/>
      <c r="ET3" s="7"/>
      <c r="EU3" s="10"/>
      <c r="EV3" s="10"/>
      <c r="EW3" s="10"/>
      <c r="EX3" s="10"/>
      <c r="EY3" s="10"/>
      <c r="EZ3" s="10"/>
      <c r="FA3" s="10"/>
      <c r="FB3" s="10"/>
      <c r="FC3" s="10"/>
      <c r="FD3" s="12"/>
      <c r="FE3" s="11" t="s">
        <v>15</v>
      </c>
      <c r="FF3" s="5">
        <v>3000000.0</v>
      </c>
      <c r="FG3" s="5">
        <v>5000000.0</v>
      </c>
      <c r="FH3" s="5"/>
      <c r="FI3" s="6">
        <v>0.01</v>
      </c>
      <c r="FJ3" s="7"/>
      <c r="FK3" s="7"/>
      <c r="FL3" s="10"/>
      <c r="FM3" s="10"/>
      <c r="FN3" s="10"/>
      <c r="FO3" s="10"/>
      <c r="FP3" s="10"/>
      <c r="FQ3" s="10"/>
      <c r="FR3" s="10"/>
      <c r="FS3" s="10"/>
      <c r="FT3" s="10"/>
      <c r="FU3" s="12"/>
      <c r="FV3" s="10"/>
      <c r="FW3" s="10"/>
      <c r="FX3" s="10"/>
      <c r="FY3" s="10"/>
      <c r="FZ3" s="10"/>
      <c r="GA3" s="10"/>
    </row>
    <row r="4">
      <c r="A4" s="5" t="s">
        <v>16</v>
      </c>
      <c r="B4" s="5">
        <v>5000001.0</v>
      </c>
      <c r="C4" s="5">
        <v>1.0E7</v>
      </c>
      <c r="D4" s="13"/>
      <c r="E4" s="6">
        <v>0.02</v>
      </c>
      <c r="F4" s="13"/>
      <c r="G4" s="13"/>
      <c r="H4" s="13"/>
      <c r="J4" s="2"/>
      <c r="M4" s="11" t="s">
        <v>16</v>
      </c>
      <c r="N4" s="5">
        <v>5000001.0</v>
      </c>
      <c r="O4" s="5">
        <v>1.0E7</v>
      </c>
      <c r="P4" s="13"/>
      <c r="Q4" s="6">
        <v>0.02</v>
      </c>
      <c r="R4" s="13"/>
      <c r="S4" s="13"/>
      <c r="T4" s="13"/>
      <c r="V4" s="2"/>
      <c r="Y4" s="11" t="s">
        <v>16</v>
      </c>
      <c r="Z4" s="5">
        <v>5000001.0</v>
      </c>
      <c r="AA4" s="5">
        <v>1.0E7</v>
      </c>
      <c r="AB4" s="13"/>
      <c r="AC4" s="6">
        <v>0.02</v>
      </c>
      <c r="AD4" s="13"/>
      <c r="AE4" s="13"/>
      <c r="AF4" s="13"/>
      <c r="AG4" s="13"/>
      <c r="AH4" s="13"/>
      <c r="AI4" s="13"/>
      <c r="AJ4" s="13"/>
      <c r="AM4" s="2"/>
      <c r="AO4" s="4"/>
      <c r="AP4" s="5" t="s">
        <v>16</v>
      </c>
      <c r="AQ4" s="5">
        <v>5000001.0</v>
      </c>
      <c r="AR4" s="5">
        <v>1.0E7</v>
      </c>
      <c r="AS4" s="13"/>
      <c r="AT4" s="6">
        <v>0.02</v>
      </c>
      <c r="AU4" s="13"/>
      <c r="AV4" s="13"/>
      <c r="AW4" s="13"/>
      <c r="AX4" s="13"/>
      <c r="AY4" s="13"/>
      <c r="AZ4" s="13"/>
      <c r="BA4" s="13"/>
      <c r="BD4" s="2"/>
      <c r="BF4" s="4"/>
      <c r="BG4" s="11" t="s">
        <v>16</v>
      </c>
      <c r="BH4" s="5">
        <v>5000001.0</v>
      </c>
      <c r="BI4" s="5">
        <v>1.0E7</v>
      </c>
      <c r="BJ4" s="13"/>
      <c r="BK4" s="6">
        <v>0.02</v>
      </c>
      <c r="BL4" s="13"/>
      <c r="BM4" s="13"/>
      <c r="BN4" s="13"/>
      <c r="BO4" s="13"/>
      <c r="BP4" s="13"/>
      <c r="BQ4" s="13"/>
      <c r="BR4" s="13"/>
      <c r="BU4" s="2"/>
      <c r="BW4" s="4"/>
      <c r="BX4" s="11" t="s">
        <v>16</v>
      </c>
      <c r="BY4" s="5">
        <v>5000001.0</v>
      </c>
      <c r="BZ4" s="5">
        <v>1.0E7</v>
      </c>
      <c r="CA4" s="13"/>
      <c r="CB4" s="6">
        <v>0.02</v>
      </c>
      <c r="CC4" s="13"/>
      <c r="CD4" s="13"/>
      <c r="CE4" s="13"/>
      <c r="CF4" s="13"/>
      <c r="CG4" s="13"/>
      <c r="CH4" s="13"/>
      <c r="CI4" s="13"/>
      <c r="CL4" s="2"/>
      <c r="CN4" s="4"/>
      <c r="CO4" s="11" t="s">
        <v>16</v>
      </c>
      <c r="CP4" s="5">
        <v>5000001.0</v>
      </c>
      <c r="CQ4" s="5">
        <v>1.0E7</v>
      </c>
      <c r="CR4" s="13"/>
      <c r="CS4" s="6">
        <v>0.02</v>
      </c>
      <c r="CT4" s="13"/>
      <c r="CU4" s="13"/>
      <c r="CV4" s="13"/>
      <c r="CW4" s="13"/>
      <c r="CX4" s="13"/>
      <c r="CY4" s="13"/>
      <c r="CZ4" s="13"/>
      <c r="DC4" s="2"/>
      <c r="DE4" s="4"/>
      <c r="DF4" s="11" t="s">
        <v>16</v>
      </c>
      <c r="DG4" s="5">
        <v>5000001.0</v>
      </c>
      <c r="DH4" s="5">
        <v>1.0E7</v>
      </c>
      <c r="DI4" s="13"/>
      <c r="DJ4" s="6">
        <v>0.02</v>
      </c>
      <c r="DK4" s="13"/>
      <c r="DL4" s="13"/>
      <c r="DM4" s="13"/>
      <c r="DN4" s="13"/>
      <c r="DO4" s="13"/>
      <c r="DP4" s="13"/>
      <c r="DQ4" s="13"/>
      <c r="DT4" s="2"/>
      <c r="DV4" s="4"/>
      <c r="DW4" s="11" t="s">
        <v>16</v>
      </c>
      <c r="DX4" s="5">
        <v>5000001.0</v>
      </c>
      <c r="DY4" s="5">
        <v>1.0E7</v>
      </c>
      <c r="DZ4" s="13"/>
      <c r="EA4" s="6">
        <v>0.02</v>
      </c>
      <c r="EB4" s="13"/>
      <c r="EC4" s="13"/>
      <c r="EM4" s="4"/>
      <c r="EN4" s="11" t="s">
        <v>16</v>
      </c>
      <c r="EO4" s="5">
        <v>5000001.0</v>
      </c>
      <c r="EP4" s="5">
        <v>1.0E7</v>
      </c>
      <c r="EQ4" s="13"/>
      <c r="ER4" s="6">
        <v>0.02</v>
      </c>
      <c r="ES4" s="13"/>
      <c r="ET4" s="13"/>
      <c r="FD4" s="4"/>
      <c r="FE4" s="11" t="s">
        <v>16</v>
      </c>
      <c r="FF4" s="5">
        <v>5000001.0</v>
      </c>
      <c r="FG4" s="5">
        <v>1.0E7</v>
      </c>
      <c r="FH4" s="13"/>
      <c r="FI4" s="6">
        <v>0.02</v>
      </c>
      <c r="FJ4" s="13"/>
      <c r="FK4" s="13"/>
      <c r="FU4" s="4"/>
    </row>
    <row r="5">
      <c r="A5" s="5" t="s">
        <v>17</v>
      </c>
      <c r="B5" s="5">
        <v>1.0000001E7</v>
      </c>
      <c r="C5" s="5">
        <v>1.5E7</v>
      </c>
      <c r="D5" s="14"/>
      <c r="E5" s="15">
        <v>0.03</v>
      </c>
      <c r="F5" s="8"/>
      <c r="G5" s="8"/>
      <c r="H5" s="8"/>
      <c r="J5" s="9"/>
      <c r="K5" s="9"/>
      <c r="L5" s="10"/>
      <c r="M5" s="11" t="s">
        <v>17</v>
      </c>
      <c r="N5" s="5">
        <v>1.0000001E7</v>
      </c>
      <c r="O5" s="5">
        <v>1.5E7</v>
      </c>
      <c r="P5" s="14"/>
      <c r="Q5" s="15">
        <v>0.03</v>
      </c>
      <c r="R5" s="8"/>
      <c r="S5" s="8"/>
      <c r="T5" s="8"/>
      <c r="V5" s="9"/>
      <c r="W5" s="9"/>
      <c r="X5" s="10"/>
      <c r="Y5" s="11" t="s">
        <v>17</v>
      </c>
      <c r="Z5" s="5">
        <v>1.0000001E7</v>
      </c>
      <c r="AA5" s="5">
        <v>1.5E7</v>
      </c>
      <c r="AB5" s="14"/>
      <c r="AC5" s="15">
        <v>0.03</v>
      </c>
      <c r="AD5" s="8"/>
      <c r="AE5" s="8"/>
      <c r="AF5" s="8"/>
      <c r="AG5" s="8"/>
      <c r="AH5" s="8"/>
      <c r="AI5" s="8"/>
      <c r="AJ5" s="8"/>
      <c r="AM5" s="9"/>
      <c r="AN5" s="9"/>
      <c r="AO5" s="12"/>
      <c r="AP5" s="5" t="s">
        <v>17</v>
      </c>
      <c r="AQ5" s="5">
        <v>1.0000001E7</v>
      </c>
      <c r="AR5" s="5">
        <v>1.5E7</v>
      </c>
      <c r="AS5" s="14"/>
      <c r="AT5" s="15">
        <v>0.03</v>
      </c>
      <c r="AU5" s="8"/>
      <c r="AV5" s="8"/>
      <c r="AW5" s="8"/>
      <c r="AX5" s="8"/>
      <c r="AY5" s="8"/>
      <c r="AZ5" s="8"/>
      <c r="BA5" s="8"/>
      <c r="BD5" s="9"/>
      <c r="BE5" s="9"/>
      <c r="BF5" s="12"/>
      <c r="BG5" s="11" t="s">
        <v>17</v>
      </c>
      <c r="BH5" s="5">
        <v>1.0000001E7</v>
      </c>
      <c r="BI5" s="5">
        <v>1.5E7</v>
      </c>
      <c r="BJ5" s="14"/>
      <c r="BK5" s="15">
        <v>0.03</v>
      </c>
      <c r="BL5" s="8"/>
      <c r="BM5" s="8"/>
      <c r="BN5" s="8"/>
      <c r="BO5" s="8"/>
      <c r="BP5" s="8"/>
      <c r="BQ5" s="8"/>
      <c r="BR5" s="8"/>
      <c r="BU5" s="9"/>
      <c r="BV5" s="9"/>
      <c r="BW5" s="12"/>
      <c r="BX5" s="11" t="s">
        <v>17</v>
      </c>
      <c r="BY5" s="5">
        <v>1.0000001E7</v>
      </c>
      <c r="BZ5" s="5">
        <v>1.5E7</v>
      </c>
      <c r="CA5" s="14"/>
      <c r="CB5" s="15">
        <v>0.03</v>
      </c>
      <c r="CC5" s="8"/>
      <c r="CD5" s="8"/>
      <c r="CE5" s="8"/>
      <c r="CF5" s="8"/>
      <c r="CG5" s="8"/>
      <c r="CH5" s="8"/>
      <c r="CI5" s="8"/>
      <c r="CL5" s="9"/>
      <c r="CM5" s="9"/>
      <c r="CN5" s="12"/>
      <c r="CO5" s="11" t="s">
        <v>17</v>
      </c>
      <c r="CP5" s="5">
        <v>1.0000001E7</v>
      </c>
      <c r="CQ5" s="5">
        <v>1.5E7</v>
      </c>
      <c r="CR5" s="14"/>
      <c r="CS5" s="15">
        <v>0.03</v>
      </c>
      <c r="CT5" s="8"/>
      <c r="CU5" s="8"/>
      <c r="CV5" s="8"/>
      <c r="CW5" s="8"/>
      <c r="CX5" s="8"/>
      <c r="CY5" s="8"/>
      <c r="CZ5" s="8"/>
      <c r="DC5" s="9"/>
      <c r="DD5" s="9"/>
      <c r="DE5" s="12"/>
      <c r="DF5" s="11" t="s">
        <v>17</v>
      </c>
      <c r="DG5" s="5">
        <v>1.0000001E7</v>
      </c>
      <c r="DH5" s="5">
        <v>1.5E7</v>
      </c>
      <c r="DI5" s="14"/>
      <c r="DJ5" s="15">
        <v>0.03</v>
      </c>
      <c r="DK5" s="8"/>
      <c r="DL5" s="8"/>
      <c r="DM5" s="8"/>
      <c r="DN5" s="8"/>
      <c r="DO5" s="8"/>
      <c r="DP5" s="8"/>
      <c r="DQ5" s="8"/>
      <c r="DT5" s="9"/>
      <c r="DU5" s="9"/>
      <c r="DV5" s="12"/>
      <c r="DW5" s="11" t="s">
        <v>17</v>
      </c>
      <c r="DX5" s="5">
        <v>1.0000001E7</v>
      </c>
      <c r="DY5" s="5">
        <v>1.5E7</v>
      </c>
      <c r="DZ5" s="14"/>
      <c r="EA5" s="15">
        <v>0.03</v>
      </c>
      <c r="EB5" s="8"/>
      <c r="EC5" s="8"/>
      <c r="ED5" s="10"/>
      <c r="EE5" s="10"/>
      <c r="EF5" s="10"/>
      <c r="EG5" s="10"/>
      <c r="EH5" s="10"/>
      <c r="EI5" s="10"/>
      <c r="EJ5" s="10"/>
      <c r="EK5" s="10"/>
      <c r="EL5" s="10"/>
      <c r="EM5" s="12"/>
      <c r="EN5" s="11" t="s">
        <v>17</v>
      </c>
      <c r="EO5" s="5">
        <v>1.0000001E7</v>
      </c>
      <c r="EP5" s="5">
        <v>1.5E7</v>
      </c>
      <c r="EQ5" s="14"/>
      <c r="ER5" s="15">
        <v>0.03</v>
      </c>
      <c r="ES5" s="8"/>
      <c r="ET5" s="8"/>
      <c r="EU5" s="10"/>
      <c r="EV5" s="10"/>
      <c r="EW5" s="10"/>
      <c r="EX5" s="10"/>
      <c r="EY5" s="10"/>
      <c r="EZ5" s="10"/>
      <c r="FA5" s="10"/>
      <c r="FB5" s="10"/>
      <c r="FC5" s="10"/>
      <c r="FD5" s="12"/>
      <c r="FE5" s="11" t="s">
        <v>17</v>
      </c>
      <c r="FF5" s="5">
        <v>1.0000001E7</v>
      </c>
      <c r="FG5" s="5">
        <v>1.5E7</v>
      </c>
      <c r="FH5" s="14"/>
      <c r="FI5" s="15">
        <v>0.03</v>
      </c>
      <c r="FJ5" s="8"/>
      <c r="FK5" s="8"/>
      <c r="FL5" s="10"/>
      <c r="FM5" s="10"/>
      <c r="FN5" s="10"/>
      <c r="FO5" s="10"/>
      <c r="FP5" s="10"/>
      <c r="FQ5" s="10"/>
      <c r="FR5" s="10"/>
      <c r="FS5" s="10"/>
      <c r="FT5" s="10"/>
      <c r="FU5" s="12"/>
      <c r="FV5" s="10"/>
      <c r="FW5" s="10"/>
      <c r="FX5" s="10"/>
      <c r="FY5" s="10"/>
      <c r="FZ5" s="10"/>
      <c r="GA5" s="10"/>
    </row>
    <row r="6">
      <c r="A6" s="5" t="s">
        <v>18</v>
      </c>
      <c r="B6" s="5">
        <v>1.5000001E7</v>
      </c>
      <c r="C6" s="5">
        <v>2.0E7</v>
      </c>
      <c r="D6" s="13"/>
      <c r="E6" s="6">
        <v>0.04</v>
      </c>
      <c r="F6" s="13"/>
      <c r="G6" s="13"/>
      <c r="H6" s="13"/>
      <c r="J6" s="2"/>
      <c r="M6" s="11" t="s">
        <v>18</v>
      </c>
      <c r="N6" s="5">
        <v>1.5000001E7</v>
      </c>
      <c r="O6" s="5">
        <v>2.0E7</v>
      </c>
      <c r="P6" s="13"/>
      <c r="Q6" s="6">
        <v>0.04</v>
      </c>
      <c r="R6" s="13"/>
      <c r="S6" s="13"/>
      <c r="T6" s="13"/>
      <c r="V6" s="2"/>
      <c r="Y6" s="11" t="s">
        <v>18</v>
      </c>
      <c r="Z6" s="5">
        <v>1.5000001E7</v>
      </c>
      <c r="AA6" s="5">
        <v>2.0E7</v>
      </c>
      <c r="AB6" s="13"/>
      <c r="AC6" s="6">
        <v>0.04</v>
      </c>
      <c r="AD6" s="13"/>
      <c r="AE6" s="13"/>
      <c r="AF6" s="13"/>
      <c r="AG6" s="13"/>
      <c r="AH6" s="13"/>
      <c r="AI6" s="13"/>
      <c r="AJ6" s="13"/>
      <c r="AM6" s="2"/>
      <c r="AO6" s="4"/>
      <c r="AP6" s="5" t="s">
        <v>18</v>
      </c>
      <c r="AQ6" s="5">
        <v>1.5000001E7</v>
      </c>
      <c r="AR6" s="5">
        <v>2.0E7</v>
      </c>
      <c r="AS6" s="13"/>
      <c r="AT6" s="6">
        <v>0.04</v>
      </c>
      <c r="AU6" s="13"/>
      <c r="AV6" s="13"/>
      <c r="AW6" s="13"/>
      <c r="AX6" s="13"/>
      <c r="AY6" s="13"/>
      <c r="AZ6" s="13"/>
      <c r="BA6" s="13"/>
      <c r="BD6" s="2"/>
      <c r="BF6" s="4"/>
      <c r="BG6" s="11" t="s">
        <v>18</v>
      </c>
      <c r="BH6" s="5">
        <v>1.5000001E7</v>
      </c>
      <c r="BI6" s="5">
        <v>2.0E7</v>
      </c>
      <c r="BJ6" s="13"/>
      <c r="BK6" s="6">
        <v>0.04</v>
      </c>
      <c r="BL6" s="13"/>
      <c r="BM6" s="13"/>
      <c r="BN6" s="13"/>
      <c r="BO6" s="13"/>
      <c r="BP6" s="13"/>
      <c r="BQ6" s="13"/>
      <c r="BR6" s="13"/>
      <c r="BU6" s="2"/>
      <c r="BW6" s="4"/>
      <c r="BX6" s="11" t="s">
        <v>18</v>
      </c>
      <c r="BY6" s="5">
        <v>1.5000001E7</v>
      </c>
      <c r="BZ6" s="5">
        <v>2.0E7</v>
      </c>
      <c r="CA6" s="13"/>
      <c r="CB6" s="6">
        <v>0.04</v>
      </c>
      <c r="CC6" s="13"/>
      <c r="CD6" s="13"/>
      <c r="CE6" s="13"/>
      <c r="CF6" s="13"/>
      <c r="CG6" s="13"/>
      <c r="CH6" s="13"/>
      <c r="CI6" s="13"/>
      <c r="CL6" s="2"/>
      <c r="CN6" s="4"/>
      <c r="CO6" s="11" t="s">
        <v>18</v>
      </c>
      <c r="CP6" s="5">
        <v>1.5000001E7</v>
      </c>
      <c r="CQ6" s="5">
        <v>2.0E7</v>
      </c>
      <c r="CR6" s="13"/>
      <c r="CS6" s="6">
        <v>0.04</v>
      </c>
      <c r="CT6" s="13"/>
      <c r="CU6" s="13"/>
      <c r="CV6" s="13"/>
      <c r="CW6" s="13"/>
      <c r="CX6" s="13"/>
      <c r="CY6" s="13"/>
      <c r="CZ6" s="13"/>
      <c r="DC6" s="2"/>
      <c r="DE6" s="4"/>
      <c r="DF6" s="11" t="s">
        <v>18</v>
      </c>
      <c r="DG6" s="5">
        <v>1.5000001E7</v>
      </c>
      <c r="DH6" s="5">
        <v>2.0E7</v>
      </c>
      <c r="DI6" s="13"/>
      <c r="DJ6" s="6">
        <v>0.04</v>
      </c>
      <c r="DK6" s="13"/>
      <c r="DL6" s="13"/>
      <c r="DM6" s="13"/>
      <c r="DN6" s="13"/>
      <c r="DO6" s="13"/>
      <c r="DP6" s="13"/>
      <c r="DQ6" s="13"/>
      <c r="DT6" s="2"/>
      <c r="DV6" s="4"/>
      <c r="DW6" s="11" t="s">
        <v>18</v>
      </c>
      <c r="DX6" s="5">
        <v>1.5000001E7</v>
      </c>
      <c r="DY6" s="5">
        <v>2.0E7</v>
      </c>
      <c r="DZ6" s="13"/>
      <c r="EA6" s="6">
        <v>0.04</v>
      </c>
      <c r="EB6" s="13"/>
      <c r="EC6" s="13"/>
      <c r="EM6" s="4"/>
      <c r="EN6" s="11" t="s">
        <v>18</v>
      </c>
      <c r="EO6" s="5">
        <v>1.5000001E7</v>
      </c>
      <c r="EP6" s="5">
        <v>2.0E7</v>
      </c>
      <c r="EQ6" s="13"/>
      <c r="ER6" s="6">
        <v>0.04</v>
      </c>
      <c r="ES6" s="13"/>
      <c r="ET6" s="13"/>
      <c r="FD6" s="4"/>
      <c r="FE6" s="11" t="s">
        <v>18</v>
      </c>
      <c r="FF6" s="5">
        <v>1.5000001E7</v>
      </c>
      <c r="FG6" s="5">
        <v>2.0E7</v>
      </c>
      <c r="FH6" s="13"/>
      <c r="FI6" s="6">
        <v>0.04</v>
      </c>
      <c r="FJ6" s="13"/>
      <c r="FK6" s="13"/>
      <c r="FU6" s="4"/>
    </row>
    <row r="7">
      <c r="A7" s="5" t="s">
        <v>19</v>
      </c>
      <c r="B7" s="5">
        <v>2.0000001E7</v>
      </c>
      <c r="C7" s="5">
        <v>9.99999999E8</v>
      </c>
      <c r="D7" s="14"/>
      <c r="E7" s="15">
        <v>0.05</v>
      </c>
      <c r="F7" s="8"/>
      <c r="G7" s="8"/>
      <c r="H7" s="8"/>
      <c r="J7" s="9"/>
      <c r="K7" s="9"/>
      <c r="L7" s="10"/>
      <c r="M7" s="11" t="s">
        <v>19</v>
      </c>
      <c r="N7" s="5">
        <v>2.0000001E7</v>
      </c>
      <c r="O7" s="5">
        <v>9.99999999E8</v>
      </c>
      <c r="P7" s="14"/>
      <c r="Q7" s="15">
        <v>0.05</v>
      </c>
      <c r="R7" s="8"/>
      <c r="S7" s="8"/>
      <c r="T7" s="8"/>
      <c r="V7" s="9"/>
      <c r="W7" s="9"/>
      <c r="X7" s="10"/>
      <c r="Y7" s="11" t="s">
        <v>19</v>
      </c>
      <c r="Z7" s="5">
        <v>2.0000001E7</v>
      </c>
      <c r="AA7" s="5">
        <v>9.99999999E8</v>
      </c>
      <c r="AB7" s="14"/>
      <c r="AC7" s="15">
        <v>0.05</v>
      </c>
      <c r="AD7" s="8"/>
      <c r="AE7" s="8"/>
      <c r="AF7" s="8"/>
      <c r="AG7" s="8"/>
      <c r="AH7" s="8"/>
      <c r="AI7" s="8"/>
      <c r="AJ7" s="8"/>
      <c r="AM7" s="9"/>
      <c r="AN7" s="9"/>
      <c r="AO7" s="12"/>
      <c r="AP7" s="5" t="s">
        <v>19</v>
      </c>
      <c r="AQ7" s="5">
        <v>2.0000001E7</v>
      </c>
      <c r="AR7" s="5">
        <v>9.99999999E8</v>
      </c>
      <c r="AS7" s="14"/>
      <c r="AT7" s="15">
        <v>0.05</v>
      </c>
      <c r="AU7" s="8"/>
      <c r="AV7" s="8"/>
      <c r="AW7" s="8"/>
      <c r="AX7" s="8"/>
      <c r="AY7" s="8"/>
      <c r="AZ7" s="8"/>
      <c r="BA7" s="8"/>
      <c r="BD7" s="9"/>
      <c r="BE7" s="9"/>
      <c r="BF7" s="12"/>
      <c r="BG7" s="11" t="s">
        <v>19</v>
      </c>
      <c r="BH7" s="5">
        <v>2.0000001E7</v>
      </c>
      <c r="BI7" s="5">
        <v>9.99999999E8</v>
      </c>
      <c r="BJ7" s="14"/>
      <c r="BK7" s="15">
        <v>0.05</v>
      </c>
      <c r="BL7" s="8"/>
      <c r="BM7" s="8"/>
      <c r="BN7" s="8"/>
      <c r="BO7" s="8"/>
      <c r="BP7" s="8"/>
      <c r="BQ7" s="8"/>
      <c r="BR7" s="8"/>
      <c r="BU7" s="9"/>
      <c r="BV7" s="9"/>
      <c r="BW7" s="12"/>
      <c r="BX7" s="11" t="s">
        <v>19</v>
      </c>
      <c r="BY7" s="5">
        <v>2.0000001E7</v>
      </c>
      <c r="BZ7" s="5">
        <v>9.99999999E8</v>
      </c>
      <c r="CA7" s="14"/>
      <c r="CB7" s="15">
        <v>0.05</v>
      </c>
      <c r="CC7" s="8"/>
      <c r="CD7" s="8"/>
      <c r="CE7" s="8"/>
      <c r="CF7" s="8"/>
      <c r="CG7" s="8"/>
      <c r="CH7" s="8"/>
      <c r="CI7" s="8"/>
      <c r="CL7" s="9"/>
      <c r="CM7" s="9"/>
      <c r="CN7" s="12"/>
      <c r="CO7" s="11" t="s">
        <v>19</v>
      </c>
      <c r="CP7" s="5">
        <v>2.0000001E7</v>
      </c>
      <c r="CQ7" s="5">
        <v>9.99999999E8</v>
      </c>
      <c r="CR7" s="14"/>
      <c r="CS7" s="15">
        <v>0.05</v>
      </c>
      <c r="CT7" s="8"/>
      <c r="CU7" s="8"/>
      <c r="CV7" s="8"/>
      <c r="CW7" s="8"/>
      <c r="CX7" s="8"/>
      <c r="CY7" s="8"/>
      <c r="CZ7" s="8"/>
      <c r="DC7" s="9"/>
      <c r="DD7" s="9"/>
      <c r="DE7" s="12"/>
      <c r="DF7" s="11" t="s">
        <v>19</v>
      </c>
      <c r="DG7" s="5">
        <v>2.0000001E7</v>
      </c>
      <c r="DH7" s="5">
        <v>9.99999999E8</v>
      </c>
      <c r="DI7" s="14"/>
      <c r="DJ7" s="15">
        <v>0.05</v>
      </c>
      <c r="DK7" s="8"/>
      <c r="DL7" s="8"/>
      <c r="DM7" s="8"/>
      <c r="DN7" s="8"/>
      <c r="DO7" s="8"/>
      <c r="DP7" s="8"/>
      <c r="DQ7" s="8"/>
      <c r="DT7" s="9"/>
      <c r="DU7" s="9"/>
      <c r="DV7" s="12"/>
      <c r="DW7" s="11" t="s">
        <v>19</v>
      </c>
      <c r="DX7" s="5">
        <v>2.0000001E7</v>
      </c>
      <c r="DY7" s="5">
        <v>9.99999999E8</v>
      </c>
      <c r="DZ7" s="14"/>
      <c r="EA7" s="15">
        <v>0.05</v>
      </c>
      <c r="EB7" s="8"/>
      <c r="EC7" s="8"/>
      <c r="ED7" s="10"/>
      <c r="EE7" s="10"/>
      <c r="EF7" s="10"/>
      <c r="EG7" s="10"/>
      <c r="EH7" s="10"/>
      <c r="EI7" s="10"/>
      <c r="EJ7" s="10"/>
      <c r="EK7" s="10"/>
      <c r="EL7" s="10"/>
      <c r="EM7" s="12"/>
      <c r="EN7" s="11" t="s">
        <v>19</v>
      </c>
      <c r="EO7" s="5">
        <v>2.0000001E7</v>
      </c>
      <c r="EP7" s="5">
        <v>9.99999999E8</v>
      </c>
      <c r="EQ7" s="14"/>
      <c r="ER7" s="15">
        <v>0.05</v>
      </c>
      <c r="ES7" s="8"/>
      <c r="ET7" s="8"/>
      <c r="EU7" s="10"/>
      <c r="EV7" s="10"/>
      <c r="EW7" s="10"/>
      <c r="EX7" s="10"/>
      <c r="EY7" s="10"/>
      <c r="EZ7" s="10"/>
      <c r="FA7" s="10"/>
      <c r="FB7" s="10"/>
      <c r="FC7" s="10"/>
      <c r="FD7" s="12"/>
      <c r="FE7" s="11" t="s">
        <v>19</v>
      </c>
      <c r="FF7" s="5">
        <v>2.0000001E7</v>
      </c>
      <c r="FG7" s="5">
        <v>9.99999999E8</v>
      </c>
      <c r="FH7" s="14"/>
      <c r="FI7" s="15">
        <v>0.05</v>
      </c>
      <c r="FJ7" s="8"/>
      <c r="FK7" s="8"/>
      <c r="FL7" s="10"/>
      <c r="FM7" s="10"/>
      <c r="FN7" s="10"/>
      <c r="FO7" s="10"/>
      <c r="FP7" s="10"/>
      <c r="FQ7" s="10"/>
      <c r="FR7" s="10"/>
      <c r="FS7" s="10"/>
      <c r="FT7" s="10"/>
      <c r="FU7" s="12"/>
      <c r="FV7" s="10"/>
      <c r="FW7" s="10"/>
      <c r="FX7" s="10"/>
      <c r="FY7" s="10"/>
      <c r="FZ7" s="10"/>
      <c r="GA7" s="10"/>
    </row>
    <row r="8">
      <c r="A8" s="16"/>
      <c r="B8" s="13"/>
      <c r="C8" s="13"/>
      <c r="D8" s="13"/>
      <c r="E8" s="13"/>
      <c r="F8" s="13"/>
      <c r="G8" s="8"/>
      <c r="H8" s="8"/>
      <c r="J8" s="1"/>
      <c r="M8" s="17"/>
      <c r="N8" s="13"/>
      <c r="O8" s="13"/>
      <c r="P8" s="13"/>
      <c r="Q8" s="13"/>
      <c r="R8" s="13"/>
      <c r="S8" s="8"/>
      <c r="T8" s="8"/>
      <c r="V8" s="1"/>
      <c r="Y8" s="17"/>
      <c r="Z8" s="13"/>
      <c r="AA8" s="13"/>
      <c r="AB8" s="13"/>
      <c r="AC8" s="13"/>
      <c r="AD8" s="13"/>
      <c r="AE8" s="13"/>
      <c r="AF8" s="8"/>
      <c r="AG8" s="8"/>
      <c r="AH8" s="8"/>
      <c r="AI8" s="8"/>
      <c r="AJ8" s="8"/>
      <c r="AM8" s="1"/>
      <c r="AO8" s="4"/>
      <c r="AP8" s="16"/>
      <c r="AQ8" s="13"/>
      <c r="AR8" s="13"/>
      <c r="AS8" s="13"/>
      <c r="AT8" s="13"/>
      <c r="AU8" s="13"/>
      <c r="AV8" s="13"/>
      <c r="AW8" s="8"/>
      <c r="AX8" s="8"/>
      <c r="AY8" s="8"/>
      <c r="AZ8" s="8"/>
      <c r="BA8" s="8"/>
      <c r="BD8" s="1"/>
      <c r="BF8" s="4"/>
      <c r="BG8" s="17"/>
      <c r="BH8" s="13"/>
      <c r="BI8" s="13"/>
      <c r="BJ8" s="13"/>
      <c r="BK8" s="13"/>
      <c r="BL8" s="13"/>
      <c r="BM8" s="13"/>
      <c r="BN8" s="8"/>
      <c r="BO8" s="8"/>
      <c r="BP8" s="8"/>
      <c r="BQ8" s="8"/>
      <c r="BR8" s="8"/>
      <c r="BU8" s="1"/>
      <c r="BW8" s="4"/>
      <c r="BX8" s="17"/>
      <c r="BY8" s="13"/>
      <c r="BZ8" s="13"/>
      <c r="CA8" s="13"/>
      <c r="CB8" s="13"/>
      <c r="CC8" s="13"/>
      <c r="CD8" s="13"/>
      <c r="CE8" s="8"/>
      <c r="CF8" s="8"/>
      <c r="CG8" s="8"/>
      <c r="CH8" s="8"/>
      <c r="CI8" s="8"/>
      <c r="CL8" s="1"/>
      <c r="CN8" s="4"/>
      <c r="CO8" s="17"/>
      <c r="CP8" s="13"/>
      <c r="CQ8" s="13"/>
      <c r="CR8" s="13"/>
      <c r="CS8" s="13"/>
      <c r="CT8" s="13"/>
      <c r="CU8" s="13"/>
      <c r="CV8" s="8"/>
      <c r="CW8" s="8"/>
      <c r="CX8" s="8"/>
      <c r="CY8" s="8"/>
      <c r="CZ8" s="8"/>
      <c r="DC8" s="1"/>
      <c r="DE8" s="4"/>
      <c r="DF8" s="17"/>
      <c r="DG8" s="13"/>
      <c r="DH8" s="13"/>
      <c r="DI8" s="13"/>
      <c r="DJ8" s="13"/>
      <c r="DK8" s="13"/>
      <c r="DL8" s="13"/>
      <c r="DM8" s="8"/>
      <c r="DN8" s="8"/>
      <c r="DO8" s="8"/>
      <c r="DP8" s="8"/>
      <c r="DQ8" s="8"/>
      <c r="DT8" s="1"/>
      <c r="DV8" s="4"/>
      <c r="DW8" s="17"/>
      <c r="DX8" s="13"/>
      <c r="DY8" s="13"/>
      <c r="DZ8" s="13"/>
      <c r="EA8" s="13"/>
      <c r="EB8" s="13"/>
      <c r="EC8" s="13"/>
      <c r="EM8" s="4"/>
      <c r="EN8" s="17"/>
      <c r="EO8" s="13"/>
      <c r="EP8" s="13"/>
      <c r="EQ8" s="13"/>
      <c r="ER8" s="13"/>
      <c r="ES8" s="13"/>
      <c r="ET8" s="13"/>
      <c r="FD8" s="4"/>
      <c r="FE8" s="17"/>
      <c r="FF8" s="13"/>
      <c r="FG8" s="13"/>
      <c r="FH8" s="13"/>
      <c r="FI8" s="13"/>
      <c r="FJ8" s="13"/>
      <c r="FK8" s="13"/>
      <c r="FU8" s="4"/>
    </row>
    <row r="9">
      <c r="A9" s="1" t="s">
        <v>20</v>
      </c>
      <c r="J9" s="2"/>
      <c r="M9" s="3" t="s">
        <v>20</v>
      </c>
      <c r="V9" s="2"/>
      <c r="Y9" s="3" t="s">
        <v>20</v>
      </c>
      <c r="AM9" s="2"/>
      <c r="AO9" s="4"/>
      <c r="AP9" s="1" t="s">
        <v>20</v>
      </c>
      <c r="BD9" s="2"/>
      <c r="BF9" s="4"/>
      <c r="BG9" s="3" t="s">
        <v>20</v>
      </c>
      <c r="BU9" s="2"/>
      <c r="BW9" s="4"/>
      <c r="BX9" s="3" t="s">
        <v>20</v>
      </c>
      <c r="CL9" s="2"/>
      <c r="CN9" s="4"/>
      <c r="CO9" s="3" t="s">
        <v>20</v>
      </c>
      <c r="DC9" s="2"/>
      <c r="DE9" s="4"/>
      <c r="DF9" s="3" t="s">
        <v>20</v>
      </c>
      <c r="DT9" s="2"/>
      <c r="DV9" s="4"/>
      <c r="DW9" s="3" t="s">
        <v>20</v>
      </c>
      <c r="EM9" s="4"/>
      <c r="EN9" s="3" t="s">
        <v>20</v>
      </c>
      <c r="FD9" s="4"/>
      <c r="FE9" s="3" t="s">
        <v>20</v>
      </c>
      <c r="FU9" s="4"/>
    </row>
    <row r="10">
      <c r="A10" s="2" t="s">
        <v>21</v>
      </c>
      <c r="B10" s="2" t="s">
        <v>22</v>
      </c>
      <c r="C10" s="2" t="s">
        <v>23</v>
      </c>
      <c r="D10" s="2" t="s">
        <v>24</v>
      </c>
      <c r="J10" s="2"/>
      <c r="K10" s="9"/>
      <c r="L10" s="9"/>
      <c r="M10" s="18" t="s">
        <v>21</v>
      </c>
      <c r="N10" s="2" t="s">
        <v>22</v>
      </c>
      <c r="O10" s="2" t="s">
        <v>23</v>
      </c>
      <c r="P10" s="2" t="s">
        <v>24</v>
      </c>
      <c r="V10" s="2"/>
      <c r="W10" s="9"/>
      <c r="X10" s="9"/>
      <c r="Y10" s="18" t="s">
        <v>21</v>
      </c>
      <c r="Z10" s="2" t="s">
        <v>22</v>
      </c>
      <c r="AA10" s="2" t="s">
        <v>23</v>
      </c>
      <c r="AB10" s="2" t="s">
        <v>24</v>
      </c>
      <c r="AM10" s="2"/>
      <c r="AN10" s="9"/>
      <c r="AO10" s="19"/>
      <c r="AP10" s="2" t="s">
        <v>21</v>
      </c>
      <c r="AQ10" s="2" t="s">
        <v>22</v>
      </c>
      <c r="AR10" s="2" t="s">
        <v>23</v>
      </c>
      <c r="AS10" s="2" t="s">
        <v>24</v>
      </c>
      <c r="BD10" s="2"/>
      <c r="BE10" s="9"/>
      <c r="BF10" s="19"/>
      <c r="BG10" s="18" t="s">
        <v>21</v>
      </c>
      <c r="BH10" s="2" t="s">
        <v>22</v>
      </c>
      <c r="BI10" s="2" t="s">
        <v>23</v>
      </c>
      <c r="BJ10" s="2" t="s">
        <v>24</v>
      </c>
      <c r="BU10" s="2"/>
      <c r="BV10" s="9"/>
      <c r="BW10" s="19"/>
      <c r="BX10" s="18" t="s">
        <v>21</v>
      </c>
      <c r="BY10" s="2" t="s">
        <v>22</v>
      </c>
      <c r="BZ10" s="2" t="s">
        <v>23</v>
      </c>
      <c r="CA10" s="2" t="s">
        <v>24</v>
      </c>
      <c r="CL10" s="2"/>
      <c r="CM10" s="9"/>
      <c r="CN10" s="19"/>
      <c r="CO10" s="18" t="s">
        <v>21</v>
      </c>
      <c r="CP10" s="2" t="s">
        <v>22</v>
      </c>
      <c r="CQ10" s="2" t="s">
        <v>23</v>
      </c>
      <c r="CR10" s="2" t="s">
        <v>24</v>
      </c>
      <c r="DC10" s="2"/>
      <c r="DD10" s="9"/>
      <c r="DE10" s="19"/>
      <c r="DF10" s="18" t="s">
        <v>21</v>
      </c>
      <c r="DG10" s="2" t="s">
        <v>22</v>
      </c>
      <c r="DH10" s="2" t="s">
        <v>23</v>
      </c>
      <c r="DI10" s="2" t="s">
        <v>24</v>
      </c>
      <c r="DT10" s="2"/>
      <c r="DU10" s="9"/>
      <c r="DV10" s="19"/>
      <c r="DW10" s="18" t="s">
        <v>21</v>
      </c>
      <c r="DX10" s="2" t="s">
        <v>25</v>
      </c>
      <c r="DY10" s="2" t="s">
        <v>26</v>
      </c>
      <c r="DZ10" s="2" t="s">
        <v>22</v>
      </c>
      <c r="EA10" s="2" t="s">
        <v>23</v>
      </c>
      <c r="EB10" s="2" t="s">
        <v>24</v>
      </c>
      <c r="ED10" s="9"/>
      <c r="EE10" s="9"/>
      <c r="EF10" s="9"/>
      <c r="EG10" s="9"/>
      <c r="EH10" s="9"/>
      <c r="EI10" s="9"/>
      <c r="EJ10" s="9"/>
      <c r="EK10" s="9"/>
      <c r="EL10" s="9"/>
      <c r="EM10" s="19"/>
      <c r="EN10" s="18" t="s">
        <v>21</v>
      </c>
      <c r="EO10" s="2" t="s">
        <v>25</v>
      </c>
      <c r="EP10" s="2" t="s">
        <v>26</v>
      </c>
      <c r="EQ10" s="2" t="s">
        <v>22</v>
      </c>
      <c r="ER10" s="2" t="s">
        <v>23</v>
      </c>
      <c r="ES10" s="2" t="s">
        <v>24</v>
      </c>
      <c r="EU10" s="9"/>
      <c r="EV10" s="9"/>
      <c r="EW10" s="9"/>
      <c r="EX10" s="9"/>
      <c r="EY10" s="9"/>
      <c r="EZ10" s="9"/>
      <c r="FA10" s="9"/>
      <c r="FB10" s="9"/>
      <c r="FC10" s="9"/>
      <c r="FD10" s="19"/>
      <c r="FE10" s="18" t="s">
        <v>21</v>
      </c>
      <c r="FF10" s="2" t="s">
        <v>25</v>
      </c>
      <c r="FG10" s="2" t="s">
        <v>26</v>
      </c>
      <c r="FH10" s="2" t="s">
        <v>22</v>
      </c>
      <c r="FI10" s="2" t="s">
        <v>23</v>
      </c>
      <c r="FJ10" s="2" t="s">
        <v>24</v>
      </c>
      <c r="FL10" s="9"/>
      <c r="FM10" s="9"/>
      <c r="FN10" s="9"/>
      <c r="FO10" s="9"/>
      <c r="FP10" s="9"/>
      <c r="FQ10" s="9"/>
      <c r="FR10" s="9"/>
      <c r="FS10" s="9"/>
      <c r="FT10" s="9"/>
      <c r="FU10" s="19"/>
      <c r="FV10" s="9"/>
      <c r="FW10" s="9"/>
      <c r="FX10" s="9"/>
      <c r="FY10" s="9"/>
      <c r="FZ10" s="9"/>
      <c r="GA10" s="9"/>
    </row>
    <row r="11">
      <c r="A11" s="2" t="s">
        <v>27</v>
      </c>
      <c r="B11" s="9">
        <v>200000.0</v>
      </c>
      <c r="C11" s="9">
        <v>220000.0</v>
      </c>
      <c r="D11" s="9">
        <v>180000.0</v>
      </c>
      <c r="J11" s="2"/>
      <c r="K11" s="9"/>
      <c r="L11" s="9"/>
      <c r="M11" s="18" t="s">
        <v>27</v>
      </c>
      <c r="N11" s="9">
        <v>200000.0</v>
      </c>
      <c r="O11" s="9">
        <v>220000.0</v>
      </c>
      <c r="P11" s="9">
        <v>180000.0</v>
      </c>
      <c r="V11" s="2"/>
      <c r="W11" s="9"/>
      <c r="X11" s="9"/>
      <c r="Y11" s="18" t="s">
        <v>27</v>
      </c>
      <c r="Z11" s="9">
        <v>200000.0</v>
      </c>
      <c r="AA11" s="9">
        <v>220000.0</v>
      </c>
      <c r="AB11" s="9">
        <v>180000.0</v>
      </c>
      <c r="AM11" s="2"/>
      <c r="AN11" s="9"/>
      <c r="AO11" s="19"/>
      <c r="AP11" s="2" t="s">
        <v>27</v>
      </c>
      <c r="AQ11" s="9">
        <v>200000.0</v>
      </c>
      <c r="AR11" s="9">
        <v>220000.0</v>
      </c>
      <c r="AS11" s="9">
        <v>180000.0</v>
      </c>
      <c r="BD11" s="2"/>
      <c r="BE11" s="9"/>
      <c r="BF11" s="19"/>
      <c r="BG11" s="18" t="s">
        <v>27</v>
      </c>
      <c r="BH11" s="9">
        <v>200000.0</v>
      </c>
      <c r="BI11" s="9">
        <v>220000.0</v>
      </c>
      <c r="BJ11" s="9">
        <v>180000.0</v>
      </c>
      <c r="BU11" s="2"/>
      <c r="BV11" s="9"/>
      <c r="BW11" s="19"/>
      <c r="BX11" s="18" t="s">
        <v>27</v>
      </c>
      <c r="BY11" s="9">
        <v>200000.0</v>
      </c>
      <c r="BZ11" s="9">
        <v>220000.0</v>
      </c>
      <c r="CA11" s="9">
        <v>180000.0</v>
      </c>
      <c r="CL11" s="2"/>
      <c r="CM11" s="9"/>
      <c r="CN11" s="19"/>
      <c r="CO11" s="18" t="s">
        <v>27</v>
      </c>
      <c r="CP11" s="9">
        <v>200000.0</v>
      </c>
      <c r="CQ11" s="9">
        <v>220000.0</v>
      </c>
      <c r="CR11" s="9">
        <v>180000.0</v>
      </c>
      <c r="DC11" s="2"/>
      <c r="DD11" s="9"/>
      <c r="DE11" s="19"/>
      <c r="DF11" s="18" t="s">
        <v>27</v>
      </c>
      <c r="DG11" s="9">
        <v>200000.0</v>
      </c>
      <c r="DH11" s="9">
        <v>220000.0</v>
      </c>
      <c r="DI11" s="9">
        <v>180000.0</v>
      </c>
      <c r="DT11" s="2"/>
      <c r="DU11" s="9"/>
      <c r="DV11" s="19"/>
      <c r="DW11" s="18" t="s">
        <v>27</v>
      </c>
      <c r="DX11" s="2" t="s">
        <v>28</v>
      </c>
      <c r="DY11" s="2">
        <v>5.0</v>
      </c>
      <c r="DZ11" s="9">
        <v>200000.0</v>
      </c>
      <c r="EA11" s="9">
        <v>220000.0</v>
      </c>
      <c r="EB11" s="9">
        <v>180000.0</v>
      </c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19"/>
      <c r="EN11" s="18" t="s">
        <v>27</v>
      </c>
      <c r="EO11" s="2" t="s">
        <v>28</v>
      </c>
      <c r="EP11" s="2">
        <v>5.0</v>
      </c>
      <c r="EQ11" s="9">
        <v>200000.0</v>
      </c>
      <c r="ER11" s="9">
        <v>220000.0</v>
      </c>
      <c r="ES11" s="9">
        <v>180000.0</v>
      </c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19"/>
      <c r="FE11" s="18" t="s">
        <v>27</v>
      </c>
      <c r="FF11" s="2" t="s">
        <v>28</v>
      </c>
      <c r="FG11" s="2">
        <v>20.0</v>
      </c>
      <c r="FH11" s="9">
        <v>200000.0</v>
      </c>
      <c r="FI11" s="9">
        <v>220000.0</v>
      </c>
      <c r="FJ11" s="9">
        <v>180000.0</v>
      </c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19"/>
      <c r="FV11" s="9"/>
      <c r="FW11" s="9"/>
      <c r="FX11" s="9"/>
      <c r="FY11" s="9"/>
      <c r="FZ11" s="9"/>
      <c r="GA11" s="9"/>
    </row>
    <row r="12">
      <c r="A12" s="2" t="s">
        <v>29</v>
      </c>
      <c r="B12" s="9">
        <v>250000.0</v>
      </c>
      <c r="C12" s="9">
        <v>300000.0</v>
      </c>
      <c r="D12" s="9">
        <v>180000.0</v>
      </c>
      <c r="J12" s="2"/>
      <c r="K12" s="9"/>
      <c r="L12" s="9"/>
      <c r="M12" s="18" t="s">
        <v>29</v>
      </c>
      <c r="N12" s="9">
        <v>250000.0</v>
      </c>
      <c r="O12" s="9">
        <v>300000.0</v>
      </c>
      <c r="P12" s="9">
        <v>180000.0</v>
      </c>
      <c r="V12" s="2"/>
      <c r="W12" s="9"/>
      <c r="X12" s="9"/>
      <c r="Y12" s="18" t="s">
        <v>29</v>
      </c>
      <c r="Z12" s="9">
        <v>250000.0</v>
      </c>
      <c r="AA12" s="9">
        <v>300000.0</v>
      </c>
      <c r="AB12" s="9">
        <v>180000.0</v>
      </c>
      <c r="AM12" s="2"/>
      <c r="AN12" s="9"/>
      <c r="AO12" s="19"/>
      <c r="AP12" s="2" t="s">
        <v>29</v>
      </c>
      <c r="AQ12" s="9">
        <v>250000.0</v>
      </c>
      <c r="AR12" s="9">
        <v>300000.0</v>
      </c>
      <c r="AS12" s="9">
        <v>180000.0</v>
      </c>
      <c r="BD12" s="2"/>
      <c r="BE12" s="9"/>
      <c r="BF12" s="19"/>
      <c r="BG12" s="18" t="s">
        <v>29</v>
      </c>
      <c r="BH12" s="9">
        <v>250000.0</v>
      </c>
      <c r="BI12" s="9">
        <v>300000.0</v>
      </c>
      <c r="BJ12" s="9">
        <v>180000.0</v>
      </c>
      <c r="BU12" s="2"/>
      <c r="BV12" s="9"/>
      <c r="BW12" s="19"/>
      <c r="BX12" s="18" t="s">
        <v>29</v>
      </c>
      <c r="BY12" s="9">
        <v>250000.0</v>
      </c>
      <c r="BZ12" s="9">
        <v>300000.0</v>
      </c>
      <c r="CA12" s="9">
        <v>180000.0</v>
      </c>
      <c r="CL12" s="2"/>
      <c r="CM12" s="9"/>
      <c r="CN12" s="19"/>
      <c r="CO12" s="18" t="s">
        <v>29</v>
      </c>
      <c r="CP12" s="9">
        <v>250000.0</v>
      </c>
      <c r="CQ12" s="9">
        <v>300000.0</v>
      </c>
      <c r="CR12" s="9">
        <v>180000.0</v>
      </c>
      <c r="DC12" s="2"/>
      <c r="DD12" s="9"/>
      <c r="DE12" s="19"/>
      <c r="DF12" s="18" t="s">
        <v>29</v>
      </c>
      <c r="DG12" s="9">
        <v>250000.0</v>
      </c>
      <c r="DH12" s="9">
        <v>300000.0</v>
      </c>
      <c r="DI12" s="9">
        <v>180000.0</v>
      </c>
      <c r="DT12" s="2"/>
      <c r="DU12" s="9"/>
      <c r="DV12" s="19"/>
      <c r="DW12" s="18" t="s">
        <v>29</v>
      </c>
      <c r="DX12" s="2" t="s">
        <v>30</v>
      </c>
      <c r="DY12" s="2">
        <v>1.0</v>
      </c>
      <c r="DZ12" s="9">
        <v>250000.0</v>
      </c>
      <c r="EA12" s="9">
        <v>300000.0</v>
      </c>
      <c r="EB12" s="9">
        <v>180000.0</v>
      </c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19"/>
      <c r="EN12" s="18" t="s">
        <v>29</v>
      </c>
      <c r="EO12" s="2" t="s">
        <v>30</v>
      </c>
      <c r="EP12" s="2">
        <v>1.0</v>
      </c>
      <c r="EQ12" s="9">
        <v>250000.0</v>
      </c>
      <c r="ER12" s="9">
        <v>300000.0</v>
      </c>
      <c r="ES12" s="9">
        <v>180000.0</v>
      </c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19"/>
      <c r="FE12" s="18" t="s">
        <v>29</v>
      </c>
      <c r="FF12" s="2" t="s">
        <v>30</v>
      </c>
      <c r="FG12" s="2">
        <v>10.0</v>
      </c>
      <c r="FH12" s="9">
        <v>250000.0</v>
      </c>
      <c r="FI12" s="9">
        <v>300000.0</v>
      </c>
      <c r="FJ12" s="9">
        <v>180000.0</v>
      </c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19"/>
      <c r="FV12" s="9"/>
      <c r="FW12" s="9"/>
      <c r="FX12" s="9"/>
      <c r="FY12" s="9"/>
      <c r="FZ12" s="9"/>
      <c r="GA12" s="9"/>
    </row>
    <row r="13">
      <c r="A13" s="2" t="s">
        <v>31</v>
      </c>
      <c r="B13" s="9">
        <v>200000.0</v>
      </c>
      <c r="C13" s="9">
        <v>220000.0</v>
      </c>
      <c r="D13" s="9">
        <v>180000.0</v>
      </c>
      <c r="J13" s="1"/>
      <c r="K13" s="9"/>
      <c r="L13" s="9"/>
      <c r="M13" s="18" t="s">
        <v>31</v>
      </c>
      <c r="N13" s="9">
        <v>200000.0</v>
      </c>
      <c r="O13" s="9">
        <v>220000.0</v>
      </c>
      <c r="P13" s="9">
        <v>180000.0</v>
      </c>
      <c r="V13" s="1"/>
      <c r="W13" s="9"/>
      <c r="X13" s="9"/>
      <c r="Y13" s="18" t="s">
        <v>31</v>
      </c>
      <c r="Z13" s="9">
        <v>200000.0</v>
      </c>
      <c r="AA13" s="9">
        <v>220000.0</v>
      </c>
      <c r="AB13" s="9">
        <v>180000.0</v>
      </c>
      <c r="AM13" s="1"/>
      <c r="AN13" s="9"/>
      <c r="AO13" s="19"/>
      <c r="AP13" s="2" t="s">
        <v>31</v>
      </c>
      <c r="AQ13" s="9">
        <v>200000.0</v>
      </c>
      <c r="AR13" s="9">
        <v>220000.0</v>
      </c>
      <c r="AS13" s="9">
        <v>180000.0</v>
      </c>
      <c r="BD13" s="1"/>
      <c r="BE13" s="9"/>
      <c r="BF13" s="19"/>
      <c r="BG13" s="18" t="s">
        <v>31</v>
      </c>
      <c r="BH13" s="9">
        <v>200000.0</v>
      </c>
      <c r="BI13" s="9">
        <v>220000.0</v>
      </c>
      <c r="BJ13" s="9">
        <v>180000.0</v>
      </c>
      <c r="BU13" s="1"/>
      <c r="BV13" s="9"/>
      <c r="BW13" s="19"/>
      <c r="BX13" s="18" t="s">
        <v>31</v>
      </c>
      <c r="BY13" s="9">
        <v>200000.0</v>
      </c>
      <c r="BZ13" s="9">
        <v>220000.0</v>
      </c>
      <c r="CA13" s="9">
        <v>180000.0</v>
      </c>
      <c r="CL13" s="1"/>
      <c r="CM13" s="9"/>
      <c r="CN13" s="19"/>
      <c r="CO13" s="18" t="s">
        <v>31</v>
      </c>
      <c r="CP13" s="9">
        <v>200000.0</v>
      </c>
      <c r="CQ13" s="9">
        <v>220000.0</v>
      </c>
      <c r="CR13" s="9">
        <v>180000.0</v>
      </c>
      <c r="DC13" s="1"/>
      <c r="DD13" s="9"/>
      <c r="DE13" s="19"/>
      <c r="DF13" s="18" t="s">
        <v>31</v>
      </c>
      <c r="DG13" s="9">
        <v>200000.0</v>
      </c>
      <c r="DH13" s="9">
        <v>220000.0</v>
      </c>
      <c r="DI13" s="9">
        <v>180000.0</v>
      </c>
      <c r="DT13" s="1"/>
      <c r="DU13" s="9"/>
      <c r="DV13" s="19"/>
      <c r="DW13" s="18" t="s">
        <v>31</v>
      </c>
      <c r="DX13" s="2" t="s">
        <v>30</v>
      </c>
      <c r="DY13" s="2">
        <v>1.0</v>
      </c>
      <c r="DZ13" s="9">
        <v>200000.0</v>
      </c>
      <c r="EA13" s="9">
        <v>220000.0</v>
      </c>
      <c r="EB13" s="9">
        <v>180000.0</v>
      </c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19"/>
      <c r="EN13" s="18" t="s">
        <v>31</v>
      </c>
      <c r="EO13" s="2" t="s">
        <v>30</v>
      </c>
      <c r="EP13" s="2">
        <v>1.0</v>
      </c>
      <c r="EQ13" s="9">
        <v>200000.0</v>
      </c>
      <c r="ER13" s="9">
        <v>220000.0</v>
      </c>
      <c r="ES13" s="9">
        <v>180000.0</v>
      </c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19"/>
      <c r="FE13" s="18" t="s">
        <v>31</v>
      </c>
      <c r="FF13" s="2" t="s">
        <v>30</v>
      </c>
      <c r="FG13" s="2">
        <v>10.0</v>
      </c>
      <c r="FH13" s="9">
        <v>200000.0</v>
      </c>
      <c r="FI13" s="9">
        <v>220000.0</v>
      </c>
      <c r="FJ13" s="9">
        <v>180000.0</v>
      </c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19"/>
      <c r="FV13" s="9"/>
      <c r="FW13" s="9"/>
      <c r="FX13" s="9"/>
      <c r="FY13" s="9"/>
      <c r="FZ13" s="9"/>
      <c r="GA13" s="9"/>
    </row>
    <row r="14">
      <c r="B14" s="9"/>
      <c r="C14" s="9"/>
      <c r="D14" s="9"/>
      <c r="J14" s="2"/>
      <c r="K14" s="9"/>
      <c r="L14" s="9"/>
      <c r="M14" s="20"/>
      <c r="N14" s="9"/>
      <c r="O14" s="9"/>
      <c r="P14" s="9"/>
      <c r="V14" s="2"/>
      <c r="W14" s="9"/>
      <c r="X14" s="9"/>
      <c r="Y14" s="3" t="s">
        <v>32</v>
      </c>
      <c r="Z14" s="9"/>
      <c r="AA14" s="9"/>
      <c r="AB14" s="9"/>
      <c r="AM14" s="2"/>
      <c r="AN14" s="9"/>
      <c r="AO14" s="19"/>
      <c r="AP14" s="1" t="s">
        <v>32</v>
      </c>
      <c r="AQ14" s="9"/>
      <c r="AR14" s="9"/>
      <c r="AS14" s="9"/>
      <c r="BD14" s="2"/>
      <c r="BE14" s="9"/>
      <c r="BF14" s="19"/>
      <c r="BG14" s="3" t="s">
        <v>33</v>
      </c>
      <c r="BH14" s="9"/>
      <c r="BI14" s="9"/>
      <c r="BJ14" s="9"/>
      <c r="BU14" s="2"/>
      <c r="BV14" s="9"/>
      <c r="BW14" s="19"/>
      <c r="BX14" s="3" t="s">
        <v>33</v>
      </c>
      <c r="BY14" s="9"/>
      <c r="BZ14" s="9"/>
      <c r="CA14" s="9"/>
      <c r="CL14" s="2"/>
      <c r="CM14" s="9"/>
      <c r="CN14" s="19"/>
      <c r="CO14" s="3" t="s">
        <v>34</v>
      </c>
      <c r="CP14" s="9"/>
      <c r="CQ14" s="21" t="s">
        <v>35</v>
      </c>
      <c r="CR14" s="9"/>
      <c r="CT14" s="21" t="s">
        <v>36</v>
      </c>
      <c r="DC14" s="2"/>
      <c r="DD14" s="9"/>
      <c r="DE14" s="19"/>
      <c r="DF14" s="3" t="s">
        <v>34</v>
      </c>
      <c r="DG14" s="9"/>
      <c r="DH14" s="21" t="s">
        <v>35</v>
      </c>
      <c r="DI14" s="9"/>
      <c r="DK14" s="21" t="s">
        <v>36</v>
      </c>
      <c r="DT14" s="2"/>
      <c r="DU14" s="9"/>
      <c r="DV14" s="19"/>
      <c r="DW14" s="1" t="s">
        <v>37</v>
      </c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19"/>
      <c r="EN14" s="1" t="s">
        <v>37</v>
      </c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19"/>
      <c r="FE14" s="1" t="s">
        <v>37</v>
      </c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19"/>
      <c r="FV14" s="9"/>
      <c r="FW14" s="9"/>
      <c r="FX14" s="9"/>
      <c r="FY14" s="9"/>
      <c r="FZ14" s="9"/>
      <c r="GA14" s="9"/>
    </row>
    <row r="15">
      <c r="A15" s="1"/>
      <c r="J15" s="1"/>
      <c r="M15" s="3"/>
      <c r="V15" s="1"/>
      <c r="Y15" s="22">
        <v>2000000.0</v>
      </c>
      <c r="AM15" s="1"/>
      <c r="AO15" s="4"/>
      <c r="AP15" s="9">
        <v>1500000.0</v>
      </c>
      <c r="BD15" s="1"/>
      <c r="BF15" s="4"/>
      <c r="BG15" s="22">
        <v>4500000.0</v>
      </c>
      <c r="BU15" s="1"/>
      <c r="BW15" s="4"/>
      <c r="BX15" s="22">
        <v>150000.0</v>
      </c>
      <c r="CL15" s="1"/>
      <c r="CN15" s="4"/>
      <c r="CO15" s="18">
        <v>2.0</v>
      </c>
      <c r="CP15" s="9"/>
      <c r="CQ15" s="9">
        <v>2.0</v>
      </c>
      <c r="CR15" s="9"/>
      <c r="CT15" s="2">
        <v>1.0</v>
      </c>
      <c r="DC15" s="1"/>
      <c r="DE15" s="4"/>
      <c r="DF15" s="18">
        <v>2.0</v>
      </c>
      <c r="DG15" s="9"/>
      <c r="DH15" s="9">
        <v>2.0</v>
      </c>
      <c r="DI15" s="9"/>
      <c r="DK15" s="2">
        <v>0.0</v>
      </c>
      <c r="DT15" s="1"/>
      <c r="DV15" s="4"/>
      <c r="DW15" s="2">
        <v>2.0</v>
      </c>
      <c r="EM15" s="4"/>
      <c r="EN15" s="2">
        <v>2.0</v>
      </c>
      <c r="FD15" s="4"/>
      <c r="FE15" s="2">
        <v>2.0</v>
      </c>
      <c r="FU15" s="4"/>
    </row>
    <row r="16">
      <c r="A16" s="23" t="s">
        <v>38</v>
      </c>
      <c r="B16" s="23" t="s">
        <v>39</v>
      </c>
      <c r="C16" s="23" t="s">
        <v>40</v>
      </c>
      <c r="D16" s="23" t="s">
        <v>41</v>
      </c>
      <c r="E16" s="23" t="s">
        <v>42</v>
      </c>
      <c r="F16" s="23" t="s">
        <v>43</v>
      </c>
      <c r="G16" s="23" t="s">
        <v>44</v>
      </c>
      <c r="H16" s="23" t="s">
        <v>45</v>
      </c>
      <c r="I16" s="23" t="s">
        <v>46</v>
      </c>
      <c r="J16" s="23" t="s">
        <v>47</v>
      </c>
      <c r="M16" s="20" t="s">
        <v>38</v>
      </c>
      <c r="N16" s="23" t="s">
        <v>39</v>
      </c>
      <c r="O16" s="23" t="s">
        <v>40</v>
      </c>
      <c r="P16" s="23" t="s">
        <v>41</v>
      </c>
      <c r="Q16" s="23" t="s">
        <v>42</v>
      </c>
      <c r="R16" s="23" t="s">
        <v>43</v>
      </c>
      <c r="S16" s="23" t="s">
        <v>44</v>
      </c>
      <c r="T16" s="23" t="s">
        <v>45</v>
      </c>
      <c r="U16" s="23" t="s">
        <v>46</v>
      </c>
      <c r="V16" s="23" t="s">
        <v>47</v>
      </c>
      <c r="Y16" s="20" t="s">
        <v>38</v>
      </c>
      <c r="Z16" s="23" t="s">
        <v>39</v>
      </c>
      <c r="AA16" s="23" t="s">
        <v>40</v>
      </c>
      <c r="AB16" s="23" t="s">
        <v>41</v>
      </c>
      <c r="AC16" s="2" t="s">
        <v>48</v>
      </c>
      <c r="AD16" s="2" t="s">
        <v>42</v>
      </c>
      <c r="AE16" s="2" t="s">
        <v>49</v>
      </c>
      <c r="AF16" s="2" t="s">
        <v>43</v>
      </c>
      <c r="AG16" s="2" t="s">
        <v>50</v>
      </c>
      <c r="AH16" s="2" t="s">
        <v>44</v>
      </c>
      <c r="AI16" s="2" t="s">
        <v>51</v>
      </c>
      <c r="AJ16" s="2" t="s">
        <v>45</v>
      </c>
      <c r="AK16" s="2" t="s">
        <v>52</v>
      </c>
      <c r="AL16" s="2" t="s">
        <v>46</v>
      </c>
      <c r="AM16" s="23" t="s">
        <v>47</v>
      </c>
      <c r="AO16" s="4"/>
      <c r="AP16" s="23" t="s">
        <v>38</v>
      </c>
      <c r="AQ16" s="23" t="s">
        <v>39</v>
      </c>
      <c r="AR16" s="23" t="s">
        <v>40</v>
      </c>
      <c r="AS16" s="23" t="s">
        <v>41</v>
      </c>
      <c r="AT16" s="2" t="s">
        <v>48</v>
      </c>
      <c r="AU16" s="2" t="s">
        <v>42</v>
      </c>
      <c r="AV16" s="2" t="s">
        <v>49</v>
      </c>
      <c r="AW16" s="2" t="s">
        <v>43</v>
      </c>
      <c r="AX16" s="2" t="s">
        <v>50</v>
      </c>
      <c r="AY16" s="2" t="s">
        <v>44</v>
      </c>
      <c r="AZ16" s="2" t="s">
        <v>51</v>
      </c>
      <c r="BA16" s="2" t="s">
        <v>45</v>
      </c>
      <c r="BB16" s="2" t="s">
        <v>52</v>
      </c>
      <c r="BC16" s="2" t="s">
        <v>46</v>
      </c>
      <c r="BD16" s="23" t="s">
        <v>47</v>
      </c>
      <c r="BF16" s="4"/>
      <c r="BG16" s="20" t="s">
        <v>38</v>
      </c>
      <c r="BH16" s="23" t="s">
        <v>39</v>
      </c>
      <c r="BI16" s="23" t="s">
        <v>40</v>
      </c>
      <c r="BJ16" s="23" t="s">
        <v>41</v>
      </c>
      <c r="BK16" s="2" t="s">
        <v>48</v>
      </c>
      <c r="BL16" s="2" t="s">
        <v>42</v>
      </c>
      <c r="BM16" s="2" t="s">
        <v>49</v>
      </c>
      <c r="BN16" s="2" t="s">
        <v>43</v>
      </c>
      <c r="BO16" s="2" t="s">
        <v>50</v>
      </c>
      <c r="BP16" s="2" t="s">
        <v>44</v>
      </c>
      <c r="BQ16" s="2" t="s">
        <v>51</v>
      </c>
      <c r="BR16" s="2" t="s">
        <v>45</v>
      </c>
      <c r="BS16" s="2" t="s">
        <v>52</v>
      </c>
      <c r="BT16" s="2" t="s">
        <v>46</v>
      </c>
      <c r="BU16" s="23" t="s">
        <v>47</v>
      </c>
      <c r="BW16" s="4"/>
      <c r="BX16" s="20" t="s">
        <v>38</v>
      </c>
      <c r="BY16" s="23" t="s">
        <v>39</v>
      </c>
      <c r="BZ16" s="23" t="s">
        <v>40</v>
      </c>
      <c r="CA16" s="23" t="s">
        <v>41</v>
      </c>
      <c r="CB16" s="2" t="s">
        <v>48</v>
      </c>
      <c r="CC16" s="2" t="s">
        <v>42</v>
      </c>
      <c r="CD16" s="2" t="s">
        <v>49</v>
      </c>
      <c r="CE16" s="2" t="s">
        <v>43</v>
      </c>
      <c r="CF16" s="2" t="s">
        <v>50</v>
      </c>
      <c r="CG16" s="2" t="s">
        <v>44</v>
      </c>
      <c r="CH16" s="2" t="s">
        <v>51</v>
      </c>
      <c r="CI16" s="2" t="s">
        <v>45</v>
      </c>
      <c r="CJ16" s="2" t="s">
        <v>52</v>
      </c>
      <c r="CK16" s="2" t="s">
        <v>46</v>
      </c>
      <c r="CL16" s="23" t="s">
        <v>47</v>
      </c>
      <c r="CN16" s="4"/>
      <c r="CO16" s="20" t="s">
        <v>38</v>
      </c>
      <c r="CP16" s="23" t="s">
        <v>39</v>
      </c>
      <c r="CQ16" s="23" t="s">
        <v>40</v>
      </c>
      <c r="CR16" s="23" t="s">
        <v>41</v>
      </c>
      <c r="CS16" s="2" t="s">
        <v>48</v>
      </c>
      <c r="CT16" s="2" t="s">
        <v>42</v>
      </c>
      <c r="CU16" s="2" t="s">
        <v>49</v>
      </c>
      <c r="CV16" s="2" t="s">
        <v>43</v>
      </c>
      <c r="CW16" s="2" t="s">
        <v>50</v>
      </c>
      <c r="CX16" s="2" t="s">
        <v>44</v>
      </c>
      <c r="CY16" s="2" t="s">
        <v>51</v>
      </c>
      <c r="CZ16" s="2" t="s">
        <v>45</v>
      </c>
      <c r="DA16" s="2" t="s">
        <v>52</v>
      </c>
      <c r="DB16" s="2" t="s">
        <v>46</v>
      </c>
      <c r="DC16" s="23" t="s">
        <v>47</v>
      </c>
      <c r="DE16" s="4"/>
      <c r="DF16" s="20" t="s">
        <v>38</v>
      </c>
      <c r="DG16" s="23" t="s">
        <v>39</v>
      </c>
      <c r="DH16" s="23" t="s">
        <v>40</v>
      </c>
      <c r="DI16" s="23" t="s">
        <v>41</v>
      </c>
      <c r="DJ16" s="2" t="s">
        <v>48</v>
      </c>
      <c r="DK16" s="2" t="s">
        <v>42</v>
      </c>
      <c r="DL16" s="2" t="s">
        <v>49</v>
      </c>
      <c r="DM16" s="2" t="s">
        <v>43</v>
      </c>
      <c r="DN16" s="2" t="s">
        <v>50</v>
      </c>
      <c r="DO16" s="2" t="s">
        <v>44</v>
      </c>
      <c r="DP16" s="2" t="s">
        <v>51</v>
      </c>
      <c r="DQ16" s="2" t="s">
        <v>45</v>
      </c>
      <c r="DR16" s="2" t="s">
        <v>52</v>
      </c>
      <c r="DS16" s="2" t="s">
        <v>46</v>
      </c>
      <c r="DT16" s="23" t="s">
        <v>47</v>
      </c>
      <c r="DV16" s="4"/>
      <c r="DW16" s="1" t="s">
        <v>53</v>
      </c>
      <c r="EM16" s="4"/>
      <c r="EN16" s="1" t="s">
        <v>53</v>
      </c>
      <c r="FD16" s="4"/>
      <c r="FE16" s="1" t="s">
        <v>53</v>
      </c>
      <c r="FU16" s="4"/>
    </row>
    <row r="17">
      <c r="A17" s="23" t="s">
        <v>27</v>
      </c>
      <c r="B17" s="2">
        <v>30.0</v>
      </c>
      <c r="C17" s="9">
        <f>B11</f>
        <v>200000</v>
      </c>
      <c r="D17" s="9">
        <f t="shared" ref="D17:D19" si="1">B17*C17</f>
        <v>6000000</v>
      </c>
      <c r="E17" s="24">
        <f t="shared" ref="E17:E19" si="2">IF(SUM($D$17:$D$19)&gt;=$B$3, D17*$E$3, "0")</f>
        <v>60000</v>
      </c>
      <c r="F17" s="24">
        <f t="shared" ref="F17:F19" si="3">IF(SUM($D$17:$D$19)&gt;=$B$4, D17*$E$4, "0")</f>
        <v>120000</v>
      </c>
      <c r="G17" s="24">
        <f t="shared" ref="G17:G19" si="4">IF(SUM($D$17:$D$19)&gt;=$B$5, D17*$E$5, "0")</f>
        <v>180000</v>
      </c>
      <c r="H17" s="24">
        <f t="shared" ref="H17:H19" si="5">IF(SUM($D$17:$D$19)&gt;=$B$6, D17*$E$6, "0")</f>
        <v>240000</v>
      </c>
      <c r="I17" s="24">
        <f t="shared" ref="I17:I19" si="6">IF(SUM($D$17:$D$19)&gt;=$B$7, D17*$E$7, "0")</f>
        <v>300000</v>
      </c>
      <c r="J17" s="25">
        <f t="shared" ref="J17:J19" si="7">D17-E17-F17-G17-H17-I17</f>
        <v>5100000</v>
      </c>
      <c r="L17" s="9"/>
      <c r="M17" s="20" t="s">
        <v>27</v>
      </c>
      <c r="N17" s="2">
        <v>3.0</v>
      </c>
      <c r="O17" s="9">
        <f>N11</f>
        <v>200000</v>
      </c>
      <c r="P17" s="9">
        <f t="shared" ref="P17:P19" si="8">N17*O17</f>
        <v>600000</v>
      </c>
      <c r="Q17" s="24" t="str">
        <f t="shared" ref="Q17:Q19" si="9">IF(SUM($P$17:$P$19)&gt;=$N$3, P17*$Q$3, "0")</f>
        <v>0</v>
      </c>
      <c r="R17" s="24" t="str">
        <f t="shared" ref="R17:R19" si="10">IF(SUM($P$17:$P$19)&gt;=$N$4, P17*$Q$4, "0")</f>
        <v>0</v>
      </c>
      <c r="S17" s="24" t="str">
        <f t="shared" ref="S17:S19" si="11">IF(SUM($P$17:$P$19)&gt;=$N$5, P17*$Q$5, "0")</f>
        <v>0</v>
      </c>
      <c r="T17" s="24" t="str">
        <f t="shared" ref="T17:T19" si="12">IF(SUM($P$17:$P$19)&gt;=$N$6, P17*$Q$6, "0")</f>
        <v>0</v>
      </c>
      <c r="U17" s="24" t="str">
        <f t="shared" ref="U17:U19" si="13">IF(SUM($P$17:$P$19)&gt;=$N$7, P17*$Q$7, "0")</f>
        <v>0</v>
      </c>
      <c r="V17" s="25">
        <f t="shared" ref="V17:V19" si="14">P17-Q17-R17-S17-T17-U17</f>
        <v>600000</v>
      </c>
      <c r="X17" s="9"/>
      <c r="Y17" s="20" t="s">
        <v>27</v>
      </c>
      <c r="Z17" s="2">
        <v>30.0</v>
      </c>
      <c r="AA17" s="9">
        <f>Z11</f>
        <v>200000</v>
      </c>
      <c r="AB17" s="9">
        <f t="shared" ref="AB17:AB19" si="15">Z17*AA17</f>
        <v>6000000</v>
      </c>
      <c r="AC17" s="24">
        <f t="shared" ref="AC17:AC19" si="16">IF(SUM($AB$17:$AB$19)&gt;=$Z$3, AB17*$AC$3, "0")</f>
        <v>60000</v>
      </c>
      <c r="AD17" s="24">
        <f t="shared" ref="AD17:AD19" si="17">IF(SUM($AC$17:$AC$19,$AE$17:$AE$19,$AG$17:$AG$19,$AI$17:$AI$19,$AK$17:$AK$19)&gt;=$Y$15,0,AC17)</f>
        <v>60000</v>
      </c>
      <c r="AE17" s="24">
        <f t="shared" ref="AE17:AE19" si="18">IF(SUM($AB$17:$AB$19)&gt;=$Z$4, AB17*$AC$4, "0")</f>
        <v>120000</v>
      </c>
      <c r="AF17" s="24">
        <f t="shared" ref="AF17:AF19" si="19">IF(SUM($AC$17:$AC$19,$AE$17:$AE$19,$AG$17:$AG$19,$AI$17:$AI$19,$AK$17:$AK$19)&gt;=$Y$15,0,AE17)</f>
        <v>120000</v>
      </c>
      <c r="AG17" s="24">
        <f t="shared" ref="AG17:AG19" si="20">IF(SUM($AB$17:$AB$19)&gt;=$Z$5, AB17*$AC$5, "0")</f>
        <v>180000</v>
      </c>
      <c r="AH17" s="24">
        <f t="shared" ref="AH17:AH19" si="21">IF(SUM($AC$17:$AC$19,$AE$17:$AE$19,$AG$17:$AG$19,$AI$17:$AI$19,$AK$17:$AK$19)&gt;=$Y$15,0,AG17)</f>
        <v>180000</v>
      </c>
      <c r="AI17" s="24" t="str">
        <f t="shared" ref="AI17:AI19" si="22">IF(SUM($AB$17:$AB$19)&gt;=$Z$6, AB17*$AC$6, "0")</f>
        <v>0</v>
      </c>
      <c r="AJ17" s="24" t="str">
        <f t="shared" ref="AJ17:AJ19" si="23">IF(SUM($AC$17:$AC$19,$AE$17:$AE$19,$AG$17:$AG$19,$AI$17:$AI$19,$AK$17:$AK$19)&gt;=$Y$15,0,AI17)</f>
        <v>0</v>
      </c>
      <c r="AK17" s="24" t="str">
        <f t="shared" ref="AK17:AK19" si="24">IF(SUM($AB$17:$AB$19)&gt;=$Z$7, AB17*$AC$7, "0")</f>
        <v>0</v>
      </c>
      <c r="AL17" s="24" t="str">
        <f t="shared" ref="AL17:AL19" si="25">IF(SUM($AC$17:$AC$19,$AE$17:$AE$19,$AG$17:$AG$19,$AI$17:$AI$19,$AK$17:$AK$19)&gt;=$Y$15,0,AK17)</f>
        <v>0</v>
      </c>
      <c r="AM17" s="25">
        <f t="shared" ref="AM17:AM19" si="26">AB17-AD17-AF17-AH17-AJ17-AL17</f>
        <v>5640000</v>
      </c>
      <c r="AO17" s="19"/>
      <c r="AP17" s="23" t="s">
        <v>27</v>
      </c>
      <c r="AQ17" s="2">
        <v>30.0</v>
      </c>
      <c r="AR17" s="9">
        <f>AQ11</f>
        <v>200000</v>
      </c>
      <c r="AS17" s="9">
        <f t="shared" ref="AS17:AS19" si="27">AQ17*AR17</f>
        <v>6000000</v>
      </c>
      <c r="AT17" s="24">
        <f t="shared" ref="AT17:AT19" si="28">IF(SUM($AS$17:$AS$19)&gt;=$AQ$3, AS17*$AT$3, "0")</f>
        <v>60000</v>
      </c>
      <c r="AU17" s="24">
        <f t="shared" ref="AU17:AU19" si="29">IF(SUM($AT$17:$AT$19,$AV$17:$AV$19,$AX$17:$AX$19,$AZ$17:$AZ$19,$BB$17:$BB$19)&gt;=$AP$15,0,AT17)</f>
        <v>0</v>
      </c>
      <c r="AV17" s="24">
        <f t="shared" ref="AV17:AV19" si="30">IF(SUM($AS$17:$AS$19)&gt;=$AQ$4, AS17*$AT$4, "0")</f>
        <v>120000</v>
      </c>
      <c r="AW17" s="24">
        <f t="shared" ref="AW17:AW19" si="31">IF(SUM($AT$17:$AT$19,$AV$17:$AV$19,$AX$17:$AX$19,$AZ$17:$AZ$19,$BB$17:$BB$19)&gt;=$AP$15,0,AV17)</f>
        <v>0</v>
      </c>
      <c r="AX17" s="24">
        <f t="shared" ref="AX17:AX19" si="32">IF(SUM($AS$17:$AS$19)&gt;=$AQ$5, AS17*$AT$5, "0")</f>
        <v>180000</v>
      </c>
      <c r="AY17" s="24">
        <f t="shared" ref="AY17:AY19" si="33">IF(SUM($AT$17:$AT$19,$AV$17:$AV$19,$AX$17:$AX$19,$AZ$17:$AZ$19,$BB$17:$BB$19)&gt;=$AP$15,0,AX17)</f>
        <v>0</v>
      </c>
      <c r="AZ17" s="24">
        <f t="shared" ref="AZ17:AZ19" si="34">IF(SUM($AS$17:$AS$19)&gt;=$AQ$6, AS17*$AT$6, "0")</f>
        <v>240000</v>
      </c>
      <c r="BA17" s="24">
        <f t="shared" ref="BA17:BA19" si="35">IF(SUM($AT$17:$AT$19,$AV$17:$AV$19,$AX$17:$AX$19,$AZ$17:$AZ$19,$BB$17:$BB$19)&gt;=$AP$15,0,AZ17)</f>
        <v>0</v>
      </c>
      <c r="BB17" s="24">
        <f t="shared" ref="BB17:BB19" si="36">IF(SUM($AS$17:$AS$19)&gt;=$AQ$7, AS17*$AT$7, "0")</f>
        <v>300000</v>
      </c>
      <c r="BC17" s="24">
        <f t="shared" ref="BC17:BC19" si="37">IF(SUM($AT$17:$AT$19,$AV$17:$AV$19,$AX$17:$AX$19,$AZ$17:$AZ$19,$BB$17:$BB$19)&gt;=$AP$15,0,BB17)</f>
        <v>0</v>
      </c>
      <c r="BD17" s="25">
        <f t="shared" ref="BD17:BD19" si="38">AS17-AU17-AW17-AY17-BA17-BC17</f>
        <v>6000000</v>
      </c>
      <c r="BF17" s="19"/>
      <c r="BG17" s="20" t="s">
        <v>27</v>
      </c>
      <c r="BH17" s="2">
        <v>30.0</v>
      </c>
      <c r="BI17" s="9">
        <f>BH11</f>
        <v>200000</v>
      </c>
      <c r="BJ17" s="9">
        <f t="shared" ref="BJ17:BJ19" si="39">BH17*BI17</f>
        <v>6000000</v>
      </c>
      <c r="BK17" s="24">
        <f t="shared" ref="BK17:BK19" si="40">IF(SUM($BJ$17:$BJ$19)&gt;=BH$3, BJ17*$BK$3, "0")</f>
        <v>60000</v>
      </c>
      <c r="BL17" s="24">
        <f t="shared" ref="BL17:BL19" si="41">IF(SUM($BK$17:$BK$19,$BM$17:$BM$19,$BO$17:$BO$19,$BQ$17:$BQ$19,$BS$17:$BS$19)&gt;=$BG$15,0,BK17)</f>
        <v>60000</v>
      </c>
      <c r="BM17" s="24">
        <f t="shared" ref="BM17:BM19" si="42">IF(SUM($BJ$17:$BJ$19)&gt;=$BH$4, BJ17*$BK$4, "0")</f>
        <v>120000</v>
      </c>
      <c r="BN17" s="24">
        <f t="shared" ref="BN17:BN19" si="43">IF(SUM($BK$17:$BK$19,$BM$17:$BM$19,$BO$17:$BO$19,$BQ$17:$BQ$19,$BS$17:$BS$19)&gt;=$BG$15,0,BM17)</f>
        <v>120000</v>
      </c>
      <c r="BO17" s="24">
        <f t="shared" ref="BO17:BO19" si="44">IF(SUM($BJ$17:$BJ$19)&gt;=$BH$5, BJ17*$BK$5, "0")</f>
        <v>180000</v>
      </c>
      <c r="BP17" s="24">
        <f t="shared" ref="BP17:BP19" si="45">IF(SUM($BK$17:$BK$19,$BM$17:$BM$19,$BO$17:$BO$19,$BQ$17:$BQ$19,$BS$17:$BS$19)&gt;=$BG$15,0,BO17)</f>
        <v>180000</v>
      </c>
      <c r="BQ17" s="24">
        <f t="shared" ref="BQ17:BQ19" si="46">IF(SUM($BJ$17:$BJ$19)&gt;=$BH$6, BJ17*$BK$6, "0")</f>
        <v>240000</v>
      </c>
      <c r="BR17" s="24">
        <f t="shared" ref="BR17:BR19" si="47">IF(SUM($BK$17:$BK$19,$BM$17:$BM$19,$BO$17:$BO$19,$BQ$17:$BQ$19,$BS$17:$BS$19)&gt;=$BG$15,0,BQ17)</f>
        <v>240000</v>
      </c>
      <c r="BS17" s="24">
        <f t="shared" ref="BS17:BS19" si="48">IF(SUM($BJ$17:$BJ$19)&gt;=$BH$7, BJ17*$BK$7, "0")</f>
        <v>300000</v>
      </c>
      <c r="BT17" s="24">
        <f t="shared" ref="BT17:BT19" si="49">IF(SUM($BK$17:$BK$19,$BM$17:$BM$19,$BO$17:$BO$19,$BQ$17:$BQ$19,$BS$17:$BS$19)&gt;=$BG$15,0,BS17)</f>
        <v>300000</v>
      </c>
      <c r="BU17" s="25">
        <f t="shared" ref="BU17:BU19" si="50">BJ17-BL17-BN17-BP17-BR17-BT17</f>
        <v>5100000</v>
      </c>
      <c r="BW17" s="19"/>
      <c r="BX17" s="20" t="s">
        <v>27</v>
      </c>
      <c r="BY17" s="2">
        <v>10.0</v>
      </c>
      <c r="BZ17" s="9">
        <f>BY11</f>
        <v>200000</v>
      </c>
      <c r="CA17" s="9">
        <f t="shared" ref="CA17:CA19" si="51">BY17*BZ17</f>
        <v>2000000</v>
      </c>
      <c r="CB17" s="24">
        <f t="shared" ref="CB17:CB19" si="52">IF(SUM($CA$17:$CA$19)&gt;=BY$3, CA17*$CB$3, "0")</f>
        <v>20000</v>
      </c>
      <c r="CC17" s="24">
        <f t="shared" ref="CC17:CC19" si="53">IF(SUM($CB$17:$CB$19,$CD$17:$CD$19,$CF$17:$CF$19,$CH$17:$CH$19,$CJ$17:$CJ$19)&gt;=$BX$15,0,CB17)</f>
        <v>0</v>
      </c>
      <c r="CD17" s="24">
        <f t="shared" ref="CD17:CD19" si="54">IF(SUM($CA$17:$CA$19)&gt;=BY$4, CA17*$CB$4, "0")</f>
        <v>40000</v>
      </c>
      <c r="CE17" s="24">
        <f t="shared" ref="CE17:CE19" si="55">IF(SUM($CB$17:$CB$19,$CD$17:$CD$19,$CF$17:$CF$19,$CH$17:$CH$19,$CJ$17:$CJ$19)&gt;=$BX$15,0,CD17)</f>
        <v>0</v>
      </c>
      <c r="CF17" s="24" t="str">
        <f t="shared" ref="CF17:CF19" si="56">IF(SUM($CA$17:$CA$19)&gt;=$BY$5, $CA17*$CB$5, "0")</f>
        <v>0</v>
      </c>
      <c r="CG17" s="24">
        <f t="shared" ref="CG17:CG19" si="57">IF(SUM($CB$17:$CB$19,$CD$17:$CD$19,$CF$17:$CF$19,$CH$17:$CH$19,$CJ$17:$CJ$19)&gt;=$BX$15,0,CF17)</f>
        <v>0</v>
      </c>
      <c r="CH17" s="24" t="str">
        <f t="shared" ref="CH17:CH19" si="58">IF(SUM($CA$17:$CA$19)&gt;=$BY$6, $CA17*$CB$6, "0")</f>
        <v>0</v>
      </c>
      <c r="CI17" s="24">
        <f t="shared" ref="CI17:CI19" si="59">IF(SUM($CB$17:$CB$19,$CD$17:$CD$19,$CF$17:$CF$19,$CH$17:$CH$19,$CJ$17:$CJ$19)&gt;=$BX$15,0,CH17)</f>
        <v>0</v>
      </c>
      <c r="CJ17" s="24" t="str">
        <f t="shared" ref="CJ17:CJ19" si="60">IF(SUM($CA$17:$CA$19)&gt;=$BY$7, $CA17*$CB$7, "0")</f>
        <v>0</v>
      </c>
      <c r="CK17" s="24">
        <f t="shared" ref="CK17:CK19" si="61">IF(SUM($CB$17:$CB$19,$CD$17:$CD$19,$CF$17:$CF$19,$CH$17:$CH$19,$CJ$17:$CJ$19)&gt;=$BX$15,0,CJ17)</f>
        <v>0</v>
      </c>
      <c r="CL17" s="25">
        <f t="shared" ref="CL17:CL19" si="62">CA17-CC17-CE17-CG17-CI17-CK17</f>
        <v>2000000</v>
      </c>
      <c r="CN17" s="19"/>
      <c r="CO17" s="20" t="s">
        <v>27</v>
      </c>
      <c r="CP17" s="2">
        <v>30.0</v>
      </c>
      <c r="CQ17" s="9">
        <f>CP11</f>
        <v>200000</v>
      </c>
      <c r="CR17" s="9">
        <f t="shared" ref="CR17:CR19" si="63">CP17*CQ17</f>
        <v>6000000</v>
      </c>
      <c r="CS17" s="24">
        <f t="shared" ref="CS17:CS19" si="64">IF(SUM($CR$17:$CR$19)&gt;=CP$3, CR17*$CS$3, "0")</f>
        <v>60000</v>
      </c>
      <c r="CT17" s="24">
        <f t="shared" ref="CT17:CT19" si="65">(IF($CQ$15-$CT$15&gt;=$CO$15,"0", IF(SUM($CS$17:$CS$19,$CU$17:$CU$19,$CW$17:$CW$19,$CY$17:$CY$19,$DA$17:$DA$19)&gt;=$BG$15,0,CS17)))</f>
        <v>60000</v>
      </c>
      <c r="CU17" s="24">
        <f t="shared" ref="CU17:CU19" si="66">IF(SUM($CR$17:$CR$19)&gt;=$CP$4, $CR17*$CS$4, "0")</f>
        <v>120000</v>
      </c>
      <c r="CV17" s="24">
        <f t="shared" ref="CV17:CV19" si="67">(IF($CQ$15-$CT$15&gt;=$CO$15,"0", IF(SUM($CS$17:$CS$19,$CU$17:$CU$19,$CW$17:$CW$19,$CY$17:$CY$19,$DA$17:$DA$19)&gt;=$BG$15,0,CU17)))</f>
        <v>120000</v>
      </c>
      <c r="CW17" s="24">
        <f t="shared" ref="CW17:CW19" si="68">IF(SUM($CR$17:$CR$19)&gt;=$CP$5, $CR17*$CS$5, "0")</f>
        <v>180000</v>
      </c>
      <c r="CX17" s="24">
        <f t="shared" ref="CX17:CX19" si="69">(IF($CQ$15-$CT$15&gt;=$CO$15,"0", IF(SUM($CS$17:$CS$19,$CU$17:$CU$19,$CW$17:$CW$19,$CY$17:$CY$19,$DA$17:$DA$19)&gt;=$BG$15,0,CW17)))</f>
        <v>180000</v>
      </c>
      <c r="CY17" s="24">
        <f t="shared" ref="CY17:CY19" si="70">IF(SUM($CR$17:$CR$19)&gt;=$CP$6, $CR17*$CS$6, "0")</f>
        <v>240000</v>
      </c>
      <c r="CZ17" s="24">
        <f t="shared" ref="CZ17:CZ19" si="71">(IF($CQ$15-$CT$15&gt;=$CO$15,"0", IF(SUM($CS$17:$CS$19,$CU$17:$CU$19,$CW$17:$CW$19,$CY$17:$CY$19,$DA$17:$DA$19)&gt;=$BG$15,0,CY17)))</f>
        <v>240000</v>
      </c>
      <c r="DA17" s="24">
        <f t="shared" ref="DA17:DA19" si="72">IF(SUM($CR$17:$CR$19)&gt;=$CP$7, $CR17*$CS$7, "0")</f>
        <v>300000</v>
      </c>
      <c r="DB17" s="24">
        <f t="shared" ref="DB17:DB19" si="73">(IF($CQ$15-$CT$15&gt;=$CO$15,"0", IF(SUM($CS$17:$CS$19,$CU$17:$CU$19,$CW$17:$CW$19,$CY$17:$CY$19,$DA$17:$DA$19)&gt;=$BG$15,0,DA17)))</f>
        <v>300000</v>
      </c>
      <c r="DC17" s="25">
        <f t="shared" ref="DC17:DC19" si="74">CR17-CT17-CV17-CX17-CZ17-DB17</f>
        <v>5100000</v>
      </c>
      <c r="DE17" s="19"/>
      <c r="DF17" s="20" t="s">
        <v>27</v>
      </c>
      <c r="DG17" s="2">
        <v>30.0</v>
      </c>
      <c r="DH17" s="9">
        <f>DG11</f>
        <v>200000</v>
      </c>
      <c r="DI17" s="9">
        <f t="shared" ref="DI17:DI19" si="75">DG17*DH17</f>
        <v>6000000</v>
      </c>
      <c r="DJ17" s="24">
        <f t="shared" ref="DJ17:DJ19" si="76">IF(SUM($DI$17:$DI$19)&gt;=DG$3, DI17*$DJ$3, "0")</f>
        <v>60000</v>
      </c>
      <c r="DK17" s="24" t="str">
        <f t="shared" ref="DK17:DK19" si="77">(IF($DF$15-$DH$15&gt;=$DK$15,"0", IF(SUM($DJ$17:$DJ$19,$DL$17:$DL$19,$DN$17:$DN$19,$DP$17:$DP$19,$DR$17:$DR$19)&gt;=$BG$15,0,DJ17)))</f>
        <v>0</v>
      </c>
      <c r="DL17" s="24">
        <f t="shared" ref="DL17:DL19" si="78">IF(SUM($DI$17:$DI$19)&gt;=$DG$4, DI17*$DJ$4, "0")</f>
        <v>120000</v>
      </c>
      <c r="DM17" s="24" t="str">
        <f t="shared" ref="DM17:DM19" si="79">(IF($DF$15-$DH$15&gt;=$DK$15,"0", IF(SUM($DJ$17:$DJ$19,$DL$17:$DL$19,$DN$17:$DN$19,$DP$17:$DP$19,$DR$17:$DR$19)&gt;=$BG$15,0,DL17)))</f>
        <v>0</v>
      </c>
      <c r="DN17" s="24">
        <f t="shared" ref="DN17:DN19" si="80">IF(SUM($DI$17:$DI$19)&gt;=$DG$5, $DI17*$DJ$5, "0")</f>
        <v>180000</v>
      </c>
      <c r="DO17" s="24" t="str">
        <f t="shared" ref="DO17:DO19" si="81">(IF($DF$15-$DH$15&gt;=$DK$15,"0", IF(SUM($DJ$17:$DJ$19,$DL$17:$DL$19,$DN$17:$DN$19,$DP$17:$DP$19,$DR$17:$DR$19)&gt;=$BG$15,0,DN17)))</f>
        <v>0</v>
      </c>
      <c r="DP17" s="24">
        <f t="shared" ref="DP17:DP19" si="82">IF(SUM($DI$17:$DI$19)&gt;=$DG$6, $DI17*$DJ$6, "0")</f>
        <v>240000</v>
      </c>
      <c r="DQ17" s="24" t="str">
        <f t="shared" ref="DQ17:DQ19" si="83">(IF($DF$15-$DH$15&gt;=$DK$15,"0", IF(SUM($DJ$17:$DJ$19,$DL$17:$DL$19,$DN$17:$DN$19,$DP$17:$DP$19,$DR$17:$DR$19)&gt;=$BG$15,0,DP17)))</f>
        <v>0</v>
      </c>
      <c r="DR17" s="24">
        <f t="shared" ref="DR17:DR19" si="84">IF(SUM($DI$17:$DI$19)&gt;=$DG$7, $DI17*$DJ$7, "0")</f>
        <v>300000</v>
      </c>
      <c r="DS17" s="24" t="str">
        <f t="shared" ref="DS17:DS19" si="85">(IF($DF$15-$DH$15&gt;=$DK$15,"0", IF(SUM($DJ$17:$DJ$19,$DL$17:$DL$19,$DN$17:$DN$19,$DP$17:$DP$19,$DR$17:$DR$19)&gt;=$BG$15,0,DR17)))</f>
        <v>0</v>
      </c>
      <c r="DT17" s="25">
        <f t="shared" ref="DT17:DT19" si="86">DI17-DK17-DM17-DO17-DQ17-DS17</f>
        <v>6000000</v>
      </c>
      <c r="DV17" s="19"/>
      <c r="DW17" s="2" t="s">
        <v>38</v>
      </c>
      <c r="DX17" s="2" t="s">
        <v>39</v>
      </c>
      <c r="DY17" s="2" t="s">
        <v>40</v>
      </c>
      <c r="DZ17" s="2" t="s">
        <v>41</v>
      </c>
      <c r="EA17" s="2" t="s">
        <v>48</v>
      </c>
      <c r="EB17" s="2" t="s">
        <v>42</v>
      </c>
      <c r="EC17" s="2" t="s">
        <v>49</v>
      </c>
      <c r="ED17" s="2" t="s">
        <v>43</v>
      </c>
      <c r="EE17" s="2" t="s">
        <v>50</v>
      </c>
      <c r="EF17" s="2" t="s">
        <v>44</v>
      </c>
      <c r="EG17" s="2" t="s">
        <v>51</v>
      </c>
      <c r="EH17" s="2" t="s">
        <v>45</v>
      </c>
      <c r="EI17" s="2" t="s">
        <v>52</v>
      </c>
      <c r="EJ17" s="2" t="s">
        <v>46</v>
      </c>
      <c r="EK17" s="23" t="s">
        <v>47</v>
      </c>
      <c r="EM17" s="19"/>
      <c r="EN17" s="2" t="s">
        <v>38</v>
      </c>
      <c r="EO17" s="2" t="s">
        <v>39</v>
      </c>
      <c r="EP17" s="2" t="s">
        <v>40</v>
      </c>
      <c r="EQ17" s="2" t="s">
        <v>41</v>
      </c>
      <c r="ER17" s="2" t="s">
        <v>48</v>
      </c>
      <c r="ES17" s="2" t="s">
        <v>42</v>
      </c>
      <c r="ET17" s="2" t="s">
        <v>49</v>
      </c>
      <c r="EU17" s="2" t="s">
        <v>43</v>
      </c>
      <c r="EV17" s="2" t="s">
        <v>50</v>
      </c>
      <c r="EW17" s="2" t="s">
        <v>44</v>
      </c>
      <c r="EX17" s="2" t="s">
        <v>51</v>
      </c>
      <c r="EY17" s="2" t="s">
        <v>45</v>
      </c>
      <c r="EZ17" s="2" t="s">
        <v>52</v>
      </c>
      <c r="FA17" s="2" t="s">
        <v>46</v>
      </c>
      <c r="FB17" s="23" t="s">
        <v>47</v>
      </c>
      <c r="FD17" s="19"/>
      <c r="FE17" s="2" t="s">
        <v>38</v>
      </c>
      <c r="FF17" s="2" t="s">
        <v>39</v>
      </c>
      <c r="FG17" s="2" t="s">
        <v>40</v>
      </c>
      <c r="FH17" s="2" t="s">
        <v>41</v>
      </c>
      <c r="FI17" s="2" t="s">
        <v>48</v>
      </c>
      <c r="FJ17" s="2" t="s">
        <v>42</v>
      </c>
      <c r="FK17" s="2" t="s">
        <v>49</v>
      </c>
      <c r="FL17" s="2" t="s">
        <v>43</v>
      </c>
      <c r="FM17" s="2" t="s">
        <v>50</v>
      </c>
      <c r="FN17" s="2" t="s">
        <v>44</v>
      </c>
      <c r="FO17" s="2" t="s">
        <v>51</v>
      </c>
      <c r="FP17" s="2" t="s">
        <v>45</v>
      </c>
      <c r="FQ17" s="2" t="s">
        <v>52</v>
      </c>
      <c r="FR17" s="2" t="s">
        <v>46</v>
      </c>
      <c r="FS17" s="23" t="s">
        <v>47</v>
      </c>
      <c r="FU17" s="19"/>
      <c r="FV17" s="9"/>
      <c r="FW17" s="9"/>
      <c r="FX17" s="9"/>
      <c r="FY17" s="9"/>
      <c r="FZ17" s="9"/>
      <c r="GA17" s="9"/>
    </row>
    <row r="18">
      <c r="A18" s="23" t="s">
        <v>29</v>
      </c>
      <c r="B18" s="2">
        <v>30.0</v>
      </c>
      <c r="C18" s="9">
        <f>C12</f>
        <v>300000</v>
      </c>
      <c r="D18" s="9">
        <f t="shared" si="1"/>
        <v>9000000</v>
      </c>
      <c r="E18" s="24">
        <f t="shared" si="2"/>
        <v>90000</v>
      </c>
      <c r="F18" s="24">
        <f t="shared" si="3"/>
        <v>180000</v>
      </c>
      <c r="G18" s="24">
        <f t="shared" si="4"/>
        <v>270000</v>
      </c>
      <c r="H18" s="24">
        <f t="shared" si="5"/>
        <v>360000</v>
      </c>
      <c r="I18" s="24">
        <f t="shared" si="6"/>
        <v>450000</v>
      </c>
      <c r="J18" s="25">
        <f t="shared" si="7"/>
        <v>7650000</v>
      </c>
      <c r="L18" s="9"/>
      <c r="M18" s="20" t="s">
        <v>29</v>
      </c>
      <c r="N18" s="2">
        <v>3.0</v>
      </c>
      <c r="O18" s="9">
        <f>O12</f>
        <v>300000</v>
      </c>
      <c r="P18" s="9">
        <f t="shared" si="8"/>
        <v>900000</v>
      </c>
      <c r="Q18" s="24" t="str">
        <f t="shared" si="9"/>
        <v>0</v>
      </c>
      <c r="R18" s="24" t="str">
        <f t="shared" si="10"/>
        <v>0</v>
      </c>
      <c r="S18" s="24" t="str">
        <f t="shared" si="11"/>
        <v>0</v>
      </c>
      <c r="T18" s="24" t="str">
        <f t="shared" si="12"/>
        <v>0</v>
      </c>
      <c r="U18" s="24" t="str">
        <f t="shared" si="13"/>
        <v>0</v>
      </c>
      <c r="V18" s="25">
        <f t="shared" si="14"/>
        <v>900000</v>
      </c>
      <c r="X18" s="9"/>
      <c r="Y18" s="20" t="s">
        <v>29</v>
      </c>
      <c r="Z18" s="2">
        <v>10.0</v>
      </c>
      <c r="AA18" s="9">
        <f>AA12</f>
        <v>300000</v>
      </c>
      <c r="AB18" s="9">
        <f t="shared" si="15"/>
        <v>3000000</v>
      </c>
      <c r="AC18" s="24">
        <f t="shared" si="16"/>
        <v>30000</v>
      </c>
      <c r="AD18" s="24">
        <f t="shared" si="17"/>
        <v>30000</v>
      </c>
      <c r="AE18" s="24">
        <f t="shared" si="18"/>
        <v>60000</v>
      </c>
      <c r="AF18" s="24">
        <f t="shared" si="19"/>
        <v>60000</v>
      </c>
      <c r="AG18" s="24">
        <f t="shared" si="20"/>
        <v>90000</v>
      </c>
      <c r="AH18" s="24">
        <f t="shared" si="21"/>
        <v>90000</v>
      </c>
      <c r="AI18" s="24" t="str">
        <f t="shared" si="22"/>
        <v>0</v>
      </c>
      <c r="AJ18" s="24" t="str">
        <f t="shared" si="23"/>
        <v>0</v>
      </c>
      <c r="AK18" s="24" t="str">
        <f t="shared" si="24"/>
        <v>0</v>
      </c>
      <c r="AL18" s="24" t="str">
        <f t="shared" si="25"/>
        <v>0</v>
      </c>
      <c r="AM18" s="25">
        <f t="shared" si="26"/>
        <v>2820000</v>
      </c>
      <c r="AO18" s="19"/>
      <c r="AP18" s="23" t="s">
        <v>29</v>
      </c>
      <c r="AQ18" s="2">
        <v>50.0</v>
      </c>
      <c r="AR18" s="9">
        <f>AR12</f>
        <v>300000</v>
      </c>
      <c r="AS18" s="9">
        <f t="shared" si="27"/>
        <v>15000000</v>
      </c>
      <c r="AT18" s="24">
        <f t="shared" si="28"/>
        <v>150000</v>
      </c>
      <c r="AU18" s="24">
        <f t="shared" si="29"/>
        <v>0</v>
      </c>
      <c r="AV18" s="24">
        <f t="shared" si="30"/>
        <v>300000</v>
      </c>
      <c r="AW18" s="24">
        <f t="shared" si="31"/>
        <v>0</v>
      </c>
      <c r="AX18" s="24">
        <f t="shared" si="32"/>
        <v>450000</v>
      </c>
      <c r="AY18" s="24">
        <f t="shared" si="33"/>
        <v>0</v>
      </c>
      <c r="AZ18" s="24">
        <f t="shared" si="34"/>
        <v>600000</v>
      </c>
      <c r="BA18" s="24">
        <f t="shared" si="35"/>
        <v>0</v>
      </c>
      <c r="BB18" s="24">
        <f t="shared" si="36"/>
        <v>750000</v>
      </c>
      <c r="BC18" s="24">
        <f t="shared" si="37"/>
        <v>0</v>
      </c>
      <c r="BD18" s="25">
        <f t="shared" si="38"/>
        <v>15000000</v>
      </c>
      <c r="BF18" s="19"/>
      <c r="BG18" s="20" t="s">
        <v>29</v>
      </c>
      <c r="BH18" s="2">
        <v>30.0</v>
      </c>
      <c r="BI18" s="9">
        <f>BI12</f>
        <v>300000</v>
      </c>
      <c r="BJ18" s="9">
        <f t="shared" si="39"/>
        <v>9000000</v>
      </c>
      <c r="BK18" s="24">
        <f t="shared" si="40"/>
        <v>90000</v>
      </c>
      <c r="BL18" s="24">
        <f t="shared" si="41"/>
        <v>90000</v>
      </c>
      <c r="BM18" s="24">
        <f t="shared" si="42"/>
        <v>180000</v>
      </c>
      <c r="BN18" s="24">
        <f t="shared" si="43"/>
        <v>180000</v>
      </c>
      <c r="BO18" s="24">
        <f t="shared" si="44"/>
        <v>270000</v>
      </c>
      <c r="BP18" s="24">
        <f t="shared" si="45"/>
        <v>270000</v>
      </c>
      <c r="BQ18" s="24">
        <f t="shared" si="46"/>
        <v>360000</v>
      </c>
      <c r="BR18" s="24">
        <f t="shared" si="47"/>
        <v>360000</v>
      </c>
      <c r="BS18" s="24">
        <f t="shared" si="48"/>
        <v>450000</v>
      </c>
      <c r="BT18" s="24">
        <f t="shared" si="49"/>
        <v>450000</v>
      </c>
      <c r="BU18" s="25">
        <f t="shared" si="50"/>
        <v>7650000</v>
      </c>
      <c r="BW18" s="19"/>
      <c r="BX18" s="20" t="s">
        <v>29</v>
      </c>
      <c r="BY18" s="2">
        <v>10.0</v>
      </c>
      <c r="BZ18" s="9">
        <f>BZ12</f>
        <v>300000</v>
      </c>
      <c r="CA18" s="9">
        <f t="shared" si="51"/>
        <v>3000000</v>
      </c>
      <c r="CB18" s="24">
        <f t="shared" si="52"/>
        <v>30000</v>
      </c>
      <c r="CC18" s="24">
        <f t="shared" si="53"/>
        <v>0</v>
      </c>
      <c r="CD18" s="24">
        <f t="shared" si="54"/>
        <v>60000</v>
      </c>
      <c r="CE18" s="24">
        <f t="shared" si="55"/>
        <v>0</v>
      </c>
      <c r="CF18" s="24" t="str">
        <f t="shared" si="56"/>
        <v>0</v>
      </c>
      <c r="CG18" s="24">
        <f t="shared" si="57"/>
        <v>0</v>
      </c>
      <c r="CH18" s="24" t="str">
        <f t="shared" si="58"/>
        <v>0</v>
      </c>
      <c r="CI18" s="24">
        <f t="shared" si="59"/>
        <v>0</v>
      </c>
      <c r="CJ18" s="24" t="str">
        <f t="shared" si="60"/>
        <v>0</v>
      </c>
      <c r="CK18" s="24">
        <f t="shared" si="61"/>
        <v>0</v>
      </c>
      <c r="CL18" s="25">
        <f t="shared" si="62"/>
        <v>3000000</v>
      </c>
      <c r="CN18" s="19"/>
      <c r="CO18" s="20" t="s">
        <v>29</v>
      </c>
      <c r="CP18" s="2">
        <v>30.0</v>
      </c>
      <c r="CQ18" s="9">
        <f>CQ12</f>
        <v>300000</v>
      </c>
      <c r="CR18" s="9">
        <f t="shared" si="63"/>
        <v>9000000</v>
      </c>
      <c r="CS18" s="24">
        <f t="shared" si="64"/>
        <v>90000</v>
      </c>
      <c r="CT18" s="24">
        <f t="shared" si="65"/>
        <v>90000</v>
      </c>
      <c r="CU18" s="24">
        <f t="shared" si="66"/>
        <v>180000</v>
      </c>
      <c r="CV18" s="24">
        <f t="shared" si="67"/>
        <v>180000</v>
      </c>
      <c r="CW18" s="24">
        <f t="shared" si="68"/>
        <v>270000</v>
      </c>
      <c r="CX18" s="24">
        <f t="shared" si="69"/>
        <v>270000</v>
      </c>
      <c r="CY18" s="24">
        <f t="shared" si="70"/>
        <v>360000</v>
      </c>
      <c r="CZ18" s="24">
        <f t="shared" si="71"/>
        <v>360000</v>
      </c>
      <c r="DA18" s="24">
        <f t="shared" si="72"/>
        <v>450000</v>
      </c>
      <c r="DB18" s="24">
        <f t="shared" si="73"/>
        <v>450000</v>
      </c>
      <c r="DC18" s="25">
        <f t="shared" si="74"/>
        <v>7650000</v>
      </c>
      <c r="DE18" s="19"/>
      <c r="DF18" s="20" t="s">
        <v>29</v>
      </c>
      <c r="DG18" s="2">
        <v>30.0</v>
      </c>
      <c r="DH18" s="9">
        <f>DH12</f>
        <v>300000</v>
      </c>
      <c r="DI18" s="9">
        <f t="shared" si="75"/>
        <v>9000000</v>
      </c>
      <c r="DJ18" s="24">
        <f t="shared" si="76"/>
        <v>90000</v>
      </c>
      <c r="DK18" s="24" t="str">
        <f t="shared" si="77"/>
        <v>0</v>
      </c>
      <c r="DL18" s="24">
        <f t="shared" si="78"/>
        <v>180000</v>
      </c>
      <c r="DM18" s="24" t="str">
        <f t="shared" si="79"/>
        <v>0</v>
      </c>
      <c r="DN18" s="24">
        <f t="shared" si="80"/>
        <v>270000</v>
      </c>
      <c r="DO18" s="24" t="str">
        <f t="shared" si="81"/>
        <v>0</v>
      </c>
      <c r="DP18" s="24">
        <f t="shared" si="82"/>
        <v>360000</v>
      </c>
      <c r="DQ18" s="24" t="str">
        <f t="shared" si="83"/>
        <v>0</v>
      </c>
      <c r="DR18" s="24">
        <f t="shared" si="84"/>
        <v>450000</v>
      </c>
      <c r="DS18" s="24" t="str">
        <f t="shared" si="85"/>
        <v>0</v>
      </c>
      <c r="DT18" s="25">
        <f t="shared" si="86"/>
        <v>9000000</v>
      </c>
      <c r="DV18" s="19"/>
      <c r="DW18" s="2" t="s">
        <v>27</v>
      </c>
      <c r="DX18" s="2">
        <v>20.0</v>
      </c>
      <c r="DY18" s="9">
        <f>DZ11</f>
        <v>200000</v>
      </c>
      <c r="DZ18" s="9">
        <f t="shared" ref="DZ18:DZ20" si="87">DX18*DY18</f>
        <v>4000000</v>
      </c>
      <c r="EA18" s="24">
        <f>IF($DZ$18&gt;=$DX$3, $DZ18*$EA$3, "0")</f>
        <v>40000</v>
      </c>
      <c r="EB18" s="24" t="str">
        <f t="shared" ref="EB18:EB20" si="88">(IF($DF$15-$DH$15&gt;=$DK$15,"0", IF(SUM($DJ$17:$DJ$19,$DL$17:$DL$19,$DN$17:$DN$19,$DP$17:$DP$19,$DR$17:$DR$19)&gt;=$BG$15,0,EA18)))</f>
        <v>0</v>
      </c>
      <c r="EC18" s="24" t="str">
        <f>IF($DZ$18&gt;=$DX$4, $DZ18*$EA$4, "0")</f>
        <v>0</v>
      </c>
      <c r="ED18" s="24" t="str">
        <f t="shared" ref="ED18:ED20" si="89">(IF($DF$15-$DH$15&gt;=$DK$15,"0", IF(SUM($DJ$17:$DJ$19,$DL$17:$DL$19,$DN$17:$DN$19,$DP$17:$DP$19,$DR$17:$DR$19)&gt;=$BG$15,0,EC18)))</f>
        <v>0</v>
      </c>
      <c r="EE18" s="24" t="str">
        <f>IF($DZ$18&gt;=$DX$5, $DZ18*$EA$5, "0")</f>
        <v>0</v>
      </c>
      <c r="EF18" s="24" t="str">
        <f t="shared" ref="EF18:EF20" si="90">(IF($DF$15-$DH$15&gt;=$DK$15,"0", IF(SUM($DJ$17:$DJ$19,$DL$17:$DL$19,$DN$17:$DN$19,$DP$17:$DP$19,$DR$17:$DR$19)&gt;=$BG$15,0,EE18)))</f>
        <v>0</v>
      </c>
      <c r="EG18" s="24" t="str">
        <f>IF($DZ$18&gt;=$DX$6, $DZ18*$EA$6, "0")</f>
        <v>0</v>
      </c>
      <c r="EH18" s="24" t="str">
        <f t="shared" ref="EH18:EH20" si="91">(IF($DF$15-$DH$15&gt;=$DK$15,"0", IF(SUM($DJ$17:$DJ$19,$DL$17:$DL$19,$DN$17:$DN$19,$DP$17:$DP$19,$DR$17:$DR$19)&gt;=$BG$15,0,EG18)))</f>
        <v>0</v>
      </c>
      <c r="EI18" s="24" t="str">
        <f>IF($DZ$18&gt;=$DX$7, $DZ18*$EA$7, "0")</f>
        <v>0</v>
      </c>
      <c r="EJ18" s="24" t="str">
        <f t="shared" ref="EJ18:EJ20" si="92">(IF($DF$15-$DH$15&gt;=$DK$15,"0", IF(SUM($DJ$17:$DJ$19,$DL$17:$DL$19,$DN$17:$DN$19,$DP$17:$DP$19,$DR$17:$DR$19)&gt;=$BG$15,0,EI18)))</f>
        <v>0</v>
      </c>
      <c r="EK18" s="25">
        <f t="shared" ref="EK18:EK20" si="93">DZ18-EB18-ED18-EF18-EH18-EJ18</f>
        <v>4000000</v>
      </c>
      <c r="EM18" s="19"/>
      <c r="EN18" s="2" t="s">
        <v>29</v>
      </c>
      <c r="EO18" s="2">
        <v>30.0</v>
      </c>
      <c r="EP18" s="9">
        <f>EQ11</f>
        <v>200000</v>
      </c>
      <c r="EQ18" s="9">
        <f t="shared" ref="EQ18:EQ20" si="94">EO18*EP18</f>
        <v>6000000</v>
      </c>
      <c r="ER18" s="24">
        <f t="shared" ref="ER18:ER19" si="95">IF(SUM($EQ$18:$EQ$19)&gt;=$EO$3, $EQ18*$ER$3, "0")</f>
        <v>60000</v>
      </c>
      <c r="ES18" s="24" t="str">
        <f t="shared" ref="ES18:ES20" si="96">(IF($DF$15-$DH$15&gt;=$DK$15,"0", IF(SUM($DJ$17:$DJ$19,$DL$17:$DL$19,$DN$17:$DN$19,$DP$17:$DP$19,$DR$17:$DR$19)&gt;=$BG$15,0,ER18)))</f>
        <v>0</v>
      </c>
      <c r="ET18" s="24">
        <f t="shared" ref="ET18:ET19" si="97">IF(SUM($EQ$18:$EQ$19)&gt;=$EO$4, $EQ18*$ER$4, "0")</f>
        <v>120000</v>
      </c>
      <c r="EU18" s="24" t="str">
        <f t="shared" ref="EU18:EU20" si="98">(IF($DF$15-$DH$15&gt;=$DK$15,"0", IF(SUM($DJ$17:$DJ$19,$DL$17:$DL$19,$DN$17:$DN$19,$DP$17:$DP$19,$DR$17:$DR$19)&gt;=$BG$15,0,ET18)))</f>
        <v>0</v>
      </c>
      <c r="EV18" s="24">
        <f t="shared" ref="EV18:EV19" si="99">IF(SUM($EQ$18:$EQ$19)&gt;=$EO$5, $EQ18*$ER$5, "0")</f>
        <v>180000</v>
      </c>
      <c r="EW18" s="24" t="str">
        <f t="shared" ref="EW18:EW20" si="100">(IF($DF$15-$DH$15&gt;=$DK$15,"0", IF(SUM($DJ$17:$DJ$19,$DL$17:$DL$19,$DN$17:$DN$19,$DP$17:$DP$19,$DR$17:$DR$19)&gt;=$BG$15,0,EV18)))</f>
        <v>0</v>
      </c>
      <c r="EX18" s="24" t="str">
        <f t="shared" ref="EX18:EX19" si="101">IF(SUM($EQ$18:$EQ$19)&gt;=$EO$6, $EQ18*$ER$6, "0")</f>
        <v>0</v>
      </c>
      <c r="EY18" s="24" t="str">
        <f t="shared" ref="EY18:EY20" si="102">(IF($DF$15-$DH$15&gt;=$DK$15,"0", IF(SUM($DJ$17:$DJ$19,$DL$17:$DL$19,$DN$17:$DN$19,$DP$17:$DP$19,$DR$17:$DR$19)&gt;=$BG$15,0,EX18)))</f>
        <v>0</v>
      </c>
      <c r="EZ18" s="24" t="str">
        <f t="shared" ref="EZ18:EZ19" si="103">IF(SUM($EQ$18:$EQ$19)&gt;=$EO$7, $EQ18*$ER$7, "0")</f>
        <v>0</v>
      </c>
      <c r="FA18" s="24" t="str">
        <f t="shared" ref="FA18:FA20" si="104">(IF($DF$15-$DH$15&gt;=$DK$15,"0", IF(SUM($DJ$17:$DJ$19,$DL$17:$DL$19,$DN$17:$DN$19,$DP$17:$DP$19,$DR$17:$DR$19)&gt;=$BG$15,0,EZ18)))</f>
        <v>0</v>
      </c>
      <c r="FB18" s="25">
        <f t="shared" ref="FB18:FB20" si="105">EQ18-ES18-EU18-EW18-EY18-FA18</f>
        <v>6000000</v>
      </c>
      <c r="FD18" s="19"/>
      <c r="FE18" s="2" t="s">
        <v>27</v>
      </c>
      <c r="FF18" s="2">
        <v>20.0</v>
      </c>
      <c r="FG18" s="9">
        <f>FH11</f>
        <v>200000</v>
      </c>
      <c r="FH18" s="9">
        <f t="shared" ref="FH18:FH20" si="106">FF18*FG18</f>
        <v>4000000</v>
      </c>
      <c r="FI18" s="24">
        <f t="shared" ref="FI18:FI20" si="107">IF(SUM($FH$18:$FH$20)&gt;=$FF$3, $FH18*$FI$3, "0")</f>
        <v>40000</v>
      </c>
      <c r="FJ18" s="24" t="str">
        <f t="shared" ref="FJ18:FJ20" si="108">(IF($DF$15-$DH$15&gt;=$DK$15,"0", IF(SUM($DJ$17:$DJ$19,$DL$17:$DL$19,$DN$17:$DN$19,$DP$17:$DP$19,$DR$17:$DR$19)&gt;=$BG$15,0,FI18)))</f>
        <v>0</v>
      </c>
      <c r="FK18" s="24">
        <f t="shared" ref="FK18:FK20" si="109">IF(SUM($FH$18:$FH$20)&gt;=$FF$4, $FH18*$FI$4, "0")</f>
        <v>80000</v>
      </c>
      <c r="FL18" s="24" t="str">
        <f t="shared" ref="FL18:FL20" si="110">(IF($DF$15-$DH$15&gt;=$DK$15,"0", IF(SUM($DJ$17:$DJ$19,$DL$17:$DL$19,$DN$17:$DN$19,$DP$17:$DP$19,$DR$17:$DR$19)&gt;=$BG$15,0,FK18)))</f>
        <v>0</v>
      </c>
      <c r="FM18" s="24" t="str">
        <f t="shared" ref="FM18:FM20" si="111">IF(SUM($FH$18:$FH$20)&gt;=$FF$5, $FH18*$FI$5, "0")</f>
        <v>0</v>
      </c>
      <c r="FN18" s="24" t="str">
        <f t="shared" ref="FN18:FN20" si="112">(IF($DF$15-$DH$15&gt;=$DK$15,"0", IF(SUM($DJ$17:$DJ$19,$DL$17:$DL$19,$DN$17:$DN$19,$DP$17:$DP$19,$DR$17:$DR$19)&gt;=$BG$15,0,FM18)))</f>
        <v>0</v>
      </c>
      <c r="FO18" s="24" t="str">
        <f t="shared" ref="FO18:FO20" si="113">IF(SUM($FH$18:$FH$20)&gt;=$FF$6, $FH18*$FI$6, "0")</f>
        <v>0</v>
      </c>
      <c r="FP18" s="24" t="str">
        <f t="shared" ref="FP18:FP20" si="114">(IF($DF$15-$DH$15&gt;=$DK$15,"0", IF(SUM($DJ$17:$DJ$19,$DL$17:$DL$19,$DN$17:$DN$19,$DP$17:$DP$19,$DR$17:$DR$19)&gt;=$BG$15,0,FO18)))</f>
        <v>0</v>
      </c>
      <c r="FQ18" s="24" t="str">
        <f t="shared" ref="FQ18:FQ20" si="115">IF(SUM($FH$18:$FH$20)&gt;=$FF$7, $FH18*$FI$7, "0")</f>
        <v>0</v>
      </c>
      <c r="FR18" s="24" t="str">
        <f t="shared" ref="FR18:FR20" si="116">(IF($DF$15-$DH$15&gt;=$DK$15,"0", IF(SUM($DJ$17:$DJ$19,$DL$17:$DL$19,$DN$17:$DN$19,$DP$17:$DP$19,$DR$17:$DR$19)&gt;=$BG$15,0,FQ18)))</f>
        <v>0</v>
      </c>
      <c r="FS18" s="25">
        <f t="shared" ref="FS18:FS20" si="117">FH18-FJ18-FL18-FN18-FP18-FR18</f>
        <v>4000000</v>
      </c>
      <c r="FU18" s="19"/>
      <c r="FV18" s="9"/>
      <c r="FW18" s="9"/>
      <c r="FX18" s="9"/>
      <c r="FY18" s="9"/>
      <c r="FZ18" s="9"/>
      <c r="GA18" s="9"/>
    </row>
    <row r="19">
      <c r="A19" s="23" t="s">
        <v>54</v>
      </c>
      <c r="B19" s="2">
        <v>30.0</v>
      </c>
      <c r="C19" s="9">
        <f>D13</f>
        <v>180000</v>
      </c>
      <c r="D19" s="9">
        <f t="shared" si="1"/>
        <v>5400000</v>
      </c>
      <c r="E19" s="24">
        <f t="shared" si="2"/>
        <v>54000</v>
      </c>
      <c r="F19" s="24">
        <f t="shared" si="3"/>
        <v>108000</v>
      </c>
      <c r="G19" s="24">
        <f t="shared" si="4"/>
        <v>162000</v>
      </c>
      <c r="H19" s="24">
        <f t="shared" si="5"/>
        <v>216000</v>
      </c>
      <c r="I19" s="24">
        <f t="shared" si="6"/>
        <v>270000</v>
      </c>
      <c r="J19" s="25">
        <f t="shared" si="7"/>
        <v>4590000</v>
      </c>
      <c r="L19" s="9"/>
      <c r="M19" s="20" t="s">
        <v>54</v>
      </c>
      <c r="N19" s="2">
        <v>3.0</v>
      </c>
      <c r="O19" s="9">
        <f>P13</f>
        <v>180000</v>
      </c>
      <c r="P19" s="9">
        <f t="shared" si="8"/>
        <v>540000</v>
      </c>
      <c r="Q19" s="24" t="str">
        <f t="shared" si="9"/>
        <v>0</v>
      </c>
      <c r="R19" s="24" t="str">
        <f t="shared" si="10"/>
        <v>0</v>
      </c>
      <c r="S19" s="24" t="str">
        <f t="shared" si="11"/>
        <v>0</v>
      </c>
      <c r="T19" s="24" t="str">
        <f t="shared" si="12"/>
        <v>0</v>
      </c>
      <c r="U19" s="24" t="str">
        <f t="shared" si="13"/>
        <v>0</v>
      </c>
      <c r="V19" s="25">
        <f t="shared" si="14"/>
        <v>540000</v>
      </c>
      <c r="X19" s="9"/>
      <c r="Y19" s="20" t="s">
        <v>54</v>
      </c>
      <c r="Z19" s="2">
        <v>20.0</v>
      </c>
      <c r="AA19" s="9">
        <f>AB13</f>
        <v>180000</v>
      </c>
      <c r="AB19" s="9">
        <f t="shared" si="15"/>
        <v>3600000</v>
      </c>
      <c r="AC19" s="24">
        <f t="shared" si="16"/>
        <v>36000</v>
      </c>
      <c r="AD19" s="24">
        <f t="shared" si="17"/>
        <v>36000</v>
      </c>
      <c r="AE19" s="24">
        <f t="shared" si="18"/>
        <v>72000</v>
      </c>
      <c r="AF19" s="24">
        <f t="shared" si="19"/>
        <v>72000</v>
      </c>
      <c r="AG19" s="24">
        <f t="shared" si="20"/>
        <v>108000</v>
      </c>
      <c r="AH19" s="24">
        <f t="shared" si="21"/>
        <v>108000</v>
      </c>
      <c r="AI19" s="24" t="str">
        <f t="shared" si="22"/>
        <v>0</v>
      </c>
      <c r="AJ19" s="24" t="str">
        <f t="shared" si="23"/>
        <v>0</v>
      </c>
      <c r="AK19" s="24" t="str">
        <f t="shared" si="24"/>
        <v>0</v>
      </c>
      <c r="AL19" s="24" t="str">
        <f t="shared" si="25"/>
        <v>0</v>
      </c>
      <c r="AM19" s="25">
        <f t="shared" si="26"/>
        <v>3384000</v>
      </c>
      <c r="AO19" s="19"/>
      <c r="AP19" s="23" t="s">
        <v>54</v>
      </c>
      <c r="AQ19" s="2">
        <v>50.0</v>
      </c>
      <c r="AR19" s="9">
        <f>AS13</f>
        <v>180000</v>
      </c>
      <c r="AS19" s="9">
        <f t="shared" si="27"/>
        <v>9000000</v>
      </c>
      <c r="AT19" s="24">
        <f t="shared" si="28"/>
        <v>90000</v>
      </c>
      <c r="AU19" s="24">
        <f t="shared" si="29"/>
        <v>0</v>
      </c>
      <c r="AV19" s="24">
        <f t="shared" si="30"/>
        <v>180000</v>
      </c>
      <c r="AW19" s="24">
        <f t="shared" si="31"/>
        <v>0</v>
      </c>
      <c r="AX19" s="24">
        <f t="shared" si="32"/>
        <v>270000</v>
      </c>
      <c r="AY19" s="24">
        <f t="shared" si="33"/>
        <v>0</v>
      </c>
      <c r="AZ19" s="24">
        <f t="shared" si="34"/>
        <v>360000</v>
      </c>
      <c r="BA19" s="24">
        <f t="shared" si="35"/>
        <v>0</v>
      </c>
      <c r="BB19" s="24">
        <f t="shared" si="36"/>
        <v>450000</v>
      </c>
      <c r="BC19" s="24">
        <f t="shared" si="37"/>
        <v>0</v>
      </c>
      <c r="BD19" s="25">
        <f t="shared" si="38"/>
        <v>9000000</v>
      </c>
      <c r="BF19" s="19"/>
      <c r="BG19" s="20" t="s">
        <v>54</v>
      </c>
      <c r="BH19" s="2">
        <v>50.0</v>
      </c>
      <c r="BI19" s="9">
        <f>BJ13</f>
        <v>180000</v>
      </c>
      <c r="BJ19" s="9">
        <f t="shared" si="39"/>
        <v>9000000</v>
      </c>
      <c r="BK19" s="24">
        <f t="shared" si="40"/>
        <v>90000</v>
      </c>
      <c r="BL19" s="24">
        <f t="shared" si="41"/>
        <v>90000</v>
      </c>
      <c r="BM19" s="24">
        <f t="shared" si="42"/>
        <v>180000</v>
      </c>
      <c r="BN19" s="24">
        <f t="shared" si="43"/>
        <v>180000</v>
      </c>
      <c r="BO19" s="24">
        <f t="shared" si="44"/>
        <v>270000</v>
      </c>
      <c r="BP19" s="24">
        <f t="shared" si="45"/>
        <v>270000</v>
      </c>
      <c r="BQ19" s="24">
        <f t="shared" si="46"/>
        <v>360000</v>
      </c>
      <c r="BR19" s="24">
        <f t="shared" si="47"/>
        <v>360000</v>
      </c>
      <c r="BS19" s="24">
        <f t="shared" si="48"/>
        <v>450000</v>
      </c>
      <c r="BT19" s="24">
        <f t="shared" si="49"/>
        <v>450000</v>
      </c>
      <c r="BU19" s="25">
        <f t="shared" si="50"/>
        <v>7650000</v>
      </c>
      <c r="BW19" s="19"/>
      <c r="BX19" s="20" t="s">
        <v>54</v>
      </c>
      <c r="BY19" s="2">
        <v>25.0</v>
      </c>
      <c r="BZ19" s="9">
        <f>CA13</f>
        <v>180000</v>
      </c>
      <c r="CA19" s="9">
        <f t="shared" si="51"/>
        <v>4500000</v>
      </c>
      <c r="CB19" s="24">
        <f t="shared" si="52"/>
        <v>45000</v>
      </c>
      <c r="CC19" s="24">
        <f t="shared" si="53"/>
        <v>0</v>
      </c>
      <c r="CD19" s="24">
        <f t="shared" si="54"/>
        <v>90000</v>
      </c>
      <c r="CE19" s="24">
        <f t="shared" si="55"/>
        <v>0</v>
      </c>
      <c r="CF19" s="24" t="str">
        <f t="shared" si="56"/>
        <v>0</v>
      </c>
      <c r="CG19" s="24">
        <f t="shared" si="57"/>
        <v>0</v>
      </c>
      <c r="CH19" s="24" t="str">
        <f t="shared" si="58"/>
        <v>0</v>
      </c>
      <c r="CI19" s="24">
        <f t="shared" si="59"/>
        <v>0</v>
      </c>
      <c r="CJ19" s="24" t="str">
        <f t="shared" si="60"/>
        <v>0</v>
      </c>
      <c r="CK19" s="24">
        <f t="shared" si="61"/>
        <v>0</v>
      </c>
      <c r="CL19" s="25">
        <f t="shared" si="62"/>
        <v>4500000</v>
      </c>
      <c r="CN19" s="19"/>
      <c r="CO19" s="20" t="s">
        <v>54</v>
      </c>
      <c r="CP19" s="2">
        <v>50.0</v>
      </c>
      <c r="CQ19" s="9">
        <f>CR13</f>
        <v>180000</v>
      </c>
      <c r="CR19" s="9">
        <f t="shared" si="63"/>
        <v>9000000</v>
      </c>
      <c r="CS19" s="24">
        <f t="shared" si="64"/>
        <v>90000</v>
      </c>
      <c r="CT19" s="24">
        <f t="shared" si="65"/>
        <v>90000</v>
      </c>
      <c r="CU19" s="24">
        <f t="shared" si="66"/>
        <v>180000</v>
      </c>
      <c r="CV19" s="24">
        <f t="shared" si="67"/>
        <v>180000</v>
      </c>
      <c r="CW19" s="24">
        <f t="shared" si="68"/>
        <v>270000</v>
      </c>
      <c r="CX19" s="24">
        <f t="shared" si="69"/>
        <v>270000</v>
      </c>
      <c r="CY19" s="24">
        <f t="shared" si="70"/>
        <v>360000</v>
      </c>
      <c r="CZ19" s="24">
        <f t="shared" si="71"/>
        <v>360000</v>
      </c>
      <c r="DA19" s="24">
        <f t="shared" si="72"/>
        <v>450000</v>
      </c>
      <c r="DB19" s="24">
        <f t="shared" si="73"/>
        <v>450000</v>
      </c>
      <c r="DC19" s="25">
        <f t="shared" si="74"/>
        <v>7650000</v>
      </c>
      <c r="DE19" s="19"/>
      <c r="DF19" s="20" t="s">
        <v>54</v>
      </c>
      <c r="DG19" s="2">
        <v>50.0</v>
      </c>
      <c r="DH19" s="9">
        <f>DI13</f>
        <v>180000</v>
      </c>
      <c r="DI19" s="9">
        <f t="shared" si="75"/>
        <v>9000000</v>
      </c>
      <c r="DJ19" s="24">
        <f t="shared" si="76"/>
        <v>90000</v>
      </c>
      <c r="DK19" s="24" t="str">
        <f t="shared" si="77"/>
        <v>0</v>
      </c>
      <c r="DL19" s="24">
        <f t="shared" si="78"/>
        <v>180000</v>
      </c>
      <c r="DM19" s="24" t="str">
        <f t="shared" si="79"/>
        <v>0</v>
      </c>
      <c r="DN19" s="24">
        <f t="shared" si="80"/>
        <v>270000</v>
      </c>
      <c r="DO19" s="24" t="str">
        <f t="shared" si="81"/>
        <v>0</v>
      </c>
      <c r="DP19" s="24">
        <f t="shared" si="82"/>
        <v>360000</v>
      </c>
      <c r="DQ19" s="24" t="str">
        <f t="shared" si="83"/>
        <v>0</v>
      </c>
      <c r="DR19" s="24">
        <f t="shared" si="84"/>
        <v>450000</v>
      </c>
      <c r="DS19" s="24" t="str">
        <f t="shared" si="85"/>
        <v>0</v>
      </c>
      <c r="DT19" s="25">
        <f t="shared" si="86"/>
        <v>9000000</v>
      </c>
      <c r="DV19" s="19"/>
      <c r="DW19" s="2" t="s">
        <v>55</v>
      </c>
      <c r="DX19" s="2">
        <v>3.0</v>
      </c>
      <c r="DY19" s="9">
        <f>EA12</f>
        <v>300000</v>
      </c>
      <c r="DZ19" s="9">
        <f t="shared" si="87"/>
        <v>900000</v>
      </c>
      <c r="EA19" s="24"/>
      <c r="EB19" s="24" t="str">
        <f t="shared" si="88"/>
        <v>0</v>
      </c>
      <c r="EC19" s="24"/>
      <c r="ED19" s="24" t="str">
        <f t="shared" si="89"/>
        <v>0</v>
      </c>
      <c r="EE19" s="24"/>
      <c r="EF19" s="24" t="str">
        <f t="shared" si="90"/>
        <v>0</v>
      </c>
      <c r="EG19" s="24"/>
      <c r="EH19" s="24" t="str">
        <f t="shared" si="91"/>
        <v>0</v>
      </c>
      <c r="EI19" s="24"/>
      <c r="EJ19" s="24" t="str">
        <f t="shared" si="92"/>
        <v>0</v>
      </c>
      <c r="EK19" s="25">
        <f t="shared" si="93"/>
        <v>900000</v>
      </c>
      <c r="EM19" s="19"/>
      <c r="EN19" s="2" t="s">
        <v>54</v>
      </c>
      <c r="EO19" s="2">
        <v>30.0</v>
      </c>
      <c r="EP19" s="9">
        <f>ER12</f>
        <v>300000</v>
      </c>
      <c r="EQ19" s="9">
        <f t="shared" si="94"/>
        <v>9000000</v>
      </c>
      <c r="ER19" s="24">
        <f t="shared" si="95"/>
        <v>90000</v>
      </c>
      <c r="ES19" s="24" t="str">
        <f t="shared" si="96"/>
        <v>0</v>
      </c>
      <c r="ET19" s="24">
        <f t="shared" si="97"/>
        <v>180000</v>
      </c>
      <c r="EU19" s="24" t="str">
        <f t="shared" si="98"/>
        <v>0</v>
      </c>
      <c r="EV19" s="24">
        <f t="shared" si="99"/>
        <v>270000</v>
      </c>
      <c r="EW19" s="24" t="str">
        <f t="shared" si="100"/>
        <v>0</v>
      </c>
      <c r="EX19" s="24" t="str">
        <f t="shared" si="101"/>
        <v>0</v>
      </c>
      <c r="EY19" s="24" t="str">
        <f t="shared" si="102"/>
        <v>0</v>
      </c>
      <c r="EZ19" s="24" t="str">
        <f t="shared" si="103"/>
        <v>0</v>
      </c>
      <c r="FA19" s="24" t="str">
        <f t="shared" si="104"/>
        <v>0</v>
      </c>
      <c r="FB19" s="25">
        <f t="shared" si="105"/>
        <v>9000000</v>
      </c>
      <c r="FD19" s="19"/>
      <c r="FE19" s="2" t="s">
        <v>29</v>
      </c>
      <c r="FF19" s="2">
        <v>5.0</v>
      </c>
      <c r="FG19" s="9">
        <f>FI12</f>
        <v>300000</v>
      </c>
      <c r="FH19" s="9">
        <f t="shared" si="106"/>
        <v>1500000</v>
      </c>
      <c r="FI19" s="24">
        <f t="shared" si="107"/>
        <v>15000</v>
      </c>
      <c r="FJ19" s="24" t="str">
        <f t="shared" si="108"/>
        <v>0</v>
      </c>
      <c r="FK19" s="24">
        <f t="shared" si="109"/>
        <v>30000</v>
      </c>
      <c r="FL19" s="24" t="str">
        <f t="shared" si="110"/>
        <v>0</v>
      </c>
      <c r="FM19" s="24" t="str">
        <f t="shared" si="111"/>
        <v>0</v>
      </c>
      <c r="FN19" s="24" t="str">
        <f t="shared" si="112"/>
        <v>0</v>
      </c>
      <c r="FO19" s="24" t="str">
        <f t="shared" si="113"/>
        <v>0</v>
      </c>
      <c r="FP19" s="24" t="str">
        <f t="shared" si="114"/>
        <v>0</v>
      </c>
      <c r="FQ19" s="24" t="str">
        <f t="shared" si="115"/>
        <v>0</v>
      </c>
      <c r="FR19" s="24" t="str">
        <f t="shared" si="116"/>
        <v>0</v>
      </c>
      <c r="FS19" s="25">
        <f t="shared" si="117"/>
        <v>1500000</v>
      </c>
      <c r="FU19" s="19"/>
      <c r="FV19" s="9"/>
      <c r="FW19" s="9"/>
      <c r="FX19" s="9"/>
      <c r="FY19" s="9"/>
      <c r="FZ19" s="9"/>
      <c r="GA19" s="9"/>
    </row>
    <row r="20">
      <c r="H20" s="9"/>
      <c r="M20" s="20"/>
      <c r="T20" s="9"/>
      <c r="Y20" s="20"/>
      <c r="AB20" s="26"/>
      <c r="AC20" s="26"/>
      <c r="AD20" s="26"/>
      <c r="AE20" s="26"/>
      <c r="AF20" s="26"/>
      <c r="AG20" s="26"/>
      <c r="AH20" s="26"/>
      <c r="AI20" s="27"/>
      <c r="AJ20" s="27"/>
      <c r="AK20" s="26"/>
      <c r="AL20" s="26"/>
      <c r="AO20" s="4"/>
      <c r="AS20" s="26"/>
      <c r="AT20" s="26"/>
      <c r="AU20" s="26"/>
      <c r="AV20" s="26"/>
      <c r="AW20" s="26"/>
      <c r="AX20" s="26"/>
      <c r="AY20" s="26"/>
      <c r="AZ20" s="27"/>
      <c r="BA20" s="27"/>
      <c r="BB20" s="26"/>
      <c r="BC20" s="26"/>
      <c r="BF20" s="4"/>
      <c r="BG20" s="20"/>
      <c r="BJ20" s="26"/>
      <c r="BK20" s="26"/>
      <c r="BL20" s="26"/>
      <c r="BM20" s="26"/>
      <c r="BN20" s="26"/>
      <c r="BO20" s="26"/>
      <c r="BP20" s="26"/>
      <c r="BQ20" s="27"/>
      <c r="BR20" s="27"/>
      <c r="BS20" s="26"/>
      <c r="BT20" s="26"/>
      <c r="BW20" s="4"/>
      <c r="BX20" s="20"/>
      <c r="CA20" s="26"/>
      <c r="CB20" s="26"/>
      <c r="CC20" s="26"/>
      <c r="CD20" s="26"/>
      <c r="CE20" s="26"/>
      <c r="CF20" s="26"/>
      <c r="CG20" s="26"/>
      <c r="CH20" s="27"/>
      <c r="CI20" s="27"/>
      <c r="CJ20" s="26"/>
      <c r="CK20" s="26"/>
      <c r="CN20" s="4"/>
      <c r="CO20" s="20"/>
      <c r="CR20" s="26"/>
      <c r="CS20" s="26"/>
      <c r="CT20" s="26"/>
      <c r="CU20" s="26"/>
      <c r="CV20" s="26"/>
      <c r="CW20" s="26"/>
      <c r="CX20" s="26"/>
      <c r="CY20" s="27"/>
      <c r="CZ20" s="27"/>
      <c r="DA20" s="26"/>
      <c r="DB20" s="26"/>
      <c r="DE20" s="4"/>
      <c r="DF20" s="20"/>
      <c r="DI20" s="26"/>
      <c r="DJ20" s="26"/>
      <c r="DK20" s="26"/>
      <c r="DL20" s="26"/>
      <c r="DM20" s="26"/>
      <c r="DN20" s="26"/>
      <c r="DO20" s="26"/>
      <c r="DP20" s="27"/>
      <c r="DQ20" s="27"/>
      <c r="DR20" s="26"/>
      <c r="DS20" s="26"/>
      <c r="DV20" s="4"/>
      <c r="DW20" s="2" t="s">
        <v>56</v>
      </c>
      <c r="DX20" s="2">
        <v>1.0</v>
      </c>
      <c r="DY20" s="9">
        <v>180000.0</v>
      </c>
      <c r="DZ20" s="9">
        <f t="shared" si="87"/>
        <v>180000</v>
      </c>
      <c r="EA20" s="24"/>
      <c r="EB20" s="24" t="str">
        <f t="shared" si="88"/>
        <v>0</v>
      </c>
      <c r="EC20" s="24"/>
      <c r="ED20" s="24" t="str">
        <f t="shared" si="89"/>
        <v>0</v>
      </c>
      <c r="EE20" s="24"/>
      <c r="EF20" s="24" t="str">
        <f t="shared" si="90"/>
        <v>0</v>
      </c>
      <c r="EG20" s="24"/>
      <c r="EH20" s="24" t="str">
        <f t="shared" si="91"/>
        <v>0</v>
      </c>
      <c r="EI20" s="24"/>
      <c r="EJ20" s="24" t="str">
        <f t="shared" si="92"/>
        <v>0</v>
      </c>
      <c r="EK20" s="25">
        <f t="shared" si="93"/>
        <v>180000</v>
      </c>
      <c r="EM20" s="4"/>
      <c r="EN20" s="2" t="s">
        <v>55</v>
      </c>
      <c r="EO20" s="2">
        <v>20.0</v>
      </c>
      <c r="EP20" s="9">
        <v>180000.0</v>
      </c>
      <c r="EQ20" s="9">
        <f t="shared" si="94"/>
        <v>3600000</v>
      </c>
      <c r="ER20" s="24"/>
      <c r="ES20" s="24" t="str">
        <f t="shared" si="96"/>
        <v>0</v>
      </c>
      <c r="ET20" s="24"/>
      <c r="EU20" s="24" t="str">
        <f t="shared" si="98"/>
        <v>0</v>
      </c>
      <c r="EV20" s="24"/>
      <c r="EW20" s="24" t="str">
        <f t="shared" si="100"/>
        <v>0</v>
      </c>
      <c r="EX20" s="24"/>
      <c r="EY20" s="24" t="str">
        <f t="shared" si="102"/>
        <v>0</v>
      </c>
      <c r="EZ20" s="24"/>
      <c r="FA20" s="24" t="str">
        <f t="shared" si="104"/>
        <v>0</v>
      </c>
      <c r="FB20" s="25">
        <f t="shared" si="105"/>
        <v>3600000</v>
      </c>
      <c r="FD20" s="4"/>
      <c r="FE20" s="2" t="s">
        <v>54</v>
      </c>
      <c r="FF20" s="2">
        <v>5.0</v>
      </c>
      <c r="FG20" s="9">
        <v>180000.0</v>
      </c>
      <c r="FH20" s="9">
        <f t="shared" si="106"/>
        <v>900000</v>
      </c>
      <c r="FI20" s="24">
        <f t="shared" si="107"/>
        <v>9000</v>
      </c>
      <c r="FJ20" s="24" t="str">
        <f t="shared" si="108"/>
        <v>0</v>
      </c>
      <c r="FK20" s="24">
        <f t="shared" si="109"/>
        <v>18000</v>
      </c>
      <c r="FL20" s="24" t="str">
        <f t="shared" si="110"/>
        <v>0</v>
      </c>
      <c r="FM20" s="24" t="str">
        <f t="shared" si="111"/>
        <v>0</v>
      </c>
      <c r="FN20" s="24" t="str">
        <f t="shared" si="112"/>
        <v>0</v>
      </c>
      <c r="FO20" s="24" t="str">
        <f t="shared" si="113"/>
        <v>0</v>
      </c>
      <c r="FP20" s="24" t="str">
        <f t="shared" si="114"/>
        <v>0</v>
      </c>
      <c r="FQ20" s="24" t="str">
        <f t="shared" si="115"/>
        <v>0</v>
      </c>
      <c r="FR20" s="24" t="str">
        <f t="shared" si="116"/>
        <v>0</v>
      </c>
      <c r="FS20" s="25">
        <f t="shared" si="117"/>
        <v>900000</v>
      </c>
      <c r="FU20" s="4"/>
    </row>
    <row r="21">
      <c r="H21" s="9"/>
      <c r="J21" s="2" t="s">
        <v>57</v>
      </c>
      <c r="K21" s="25">
        <f>SUM(D17:D19)</f>
        <v>20400000</v>
      </c>
      <c r="M21" s="20"/>
      <c r="T21" s="9"/>
      <c r="V21" s="2" t="s">
        <v>57</v>
      </c>
      <c r="W21" s="25">
        <f>SUM(P17:P19)</f>
        <v>2040000</v>
      </c>
      <c r="Y21" s="20"/>
      <c r="AI21" s="9"/>
      <c r="AJ21" s="9"/>
      <c r="AM21" s="2" t="s">
        <v>57</v>
      </c>
      <c r="AN21" s="25">
        <f>SUM(AB17:AB19)</f>
        <v>12600000</v>
      </c>
      <c r="AO21" s="4"/>
      <c r="AZ21" s="9"/>
      <c r="BA21" s="9"/>
      <c r="BD21" s="2" t="s">
        <v>57</v>
      </c>
      <c r="BE21" s="25">
        <f>SUM(AS17:AS19)</f>
        <v>30000000</v>
      </c>
      <c r="BF21" s="4"/>
      <c r="BG21" s="20"/>
      <c r="BQ21" s="9"/>
      <c r="BR21" s="9"/>
      <c r="BU21" s="2" t="s">
        <v>57</v>
      </c>
      <c r="BV21" s="25">
        <f>SUM(BJ17:BJ19)</f>
        <v>24000000</v>
      </c>
      <c r="BW21" s="4"/>
      <c r="BX21" s="20"/>
      <c r="CH21" s="9"/>
      <c r="CI21" s="9"/>
      <c r="CL21" s="2" t="s">
        <v>57</v>
      </c>
      <c r="CM21" s="25">
        <f>SUM(CA17:CA19)</f>
        <v>9500000</v>
      </c>
      <c r="CN21" s="4"/>
      <c r="CO21" s="20"/>
      <c r="CY21" s="9"/>
      <c r="CZ21" s="9"/>
      <c r="DC21" s="2" t="s">
        <v>57</v>
      </c>
      <c r="DD21" s="25">
        <f>SUM(CR17:CR19)</f>
        <v>24000000</v>
      </c>
      <c r="DE21" s="4"/>
      <c r="DF21" s="20"/>
      <c r="DP21" s="9"/>
      <c r="DQ21" s="9"/>
      <c r="DT21" s="2" t="s">
        <v>57</v>
      </c>
      <c r="DU21" s="25">
        <f>SUM(DI17:DI19)</f>
        <v>24000000</v>
      </c>
      <c r="DV21" s="4"/>
      <c r="EG21" s="9"/>
      <c r="EH21" s="9"/>
      <c r="EM21" s="4"/>
      <c r="EX21" s="9"/>
      <c r="EY21" s="9"/>
      <c r="FD21" s="4"/>
      <c r="FO21" s="9"/>
      <c r="FP21" s="9"/>
      <c r="FU21" s="4"/>
    </row>
    <row r="22">
      <c r="H22" s="9"/>
      <c r="J22" s="2" t="s">
        <v>58</v>
      </c>
      <c r="K22" s="25">
        <f>SUM(E17:I19)</f>
        <v>3060000</v>
      </c>
      <c r="M22" s="20"/>
      <c r="T22" s="9"/>
      <c r="V22" s="2" t="s">
        <v>58</v>
      </c>
      <c r="W22" s="25">
        <f>SUM(Q17:U19)</f>
        <v>0</v>
      </c>
      <c r="Y22" s="20"/>
      <c r="AC22" s="26"/>
      <c r="AI22" s="9"/>
      <c r="AJ22" s="9"/>
      <c r="AM22" s="2" t="s">
        <v>58</v>
      </c>
      <c r="AN22" s="25">
        <f>(SUM(SUM(AD17:AD19),(AF17:AF19),(AH17:AH19),(AJ17:AJ19),(AL17:AL19)))</f>
        <v>756000</v>
      </c>
      <c r="AO22" s="4"/>
      <c r="AT22" s="26"/>
      <c r="AZ22" s="9"/>
      <c r="BA22" s="9"/>
      <c r="BD22" s="2" t="s">
        <v>58</v>
      </c>
      <c r="BE22" s="25">
        <f>(SUM(SUM(AU17:AU19),(AW17:AW19),(AY17:AY19),(BA17:BA19),(BC17:BC19)))</f>
        <v>0</v>
      </c>
      <c r="BF22" s="4"/>
      <c r="BG22" s="20"/>
      <c r="BK22" s="26"/>
      <c r="BQ22" s="9"/>
      <c r="BR22" s="9"/>
      <c r="BU22" s="2" t="s">
        <v>58</v>
      </c>
      <c r="BV22" s="25">
        <f>(SUM(SUM(BL17:BL19),(BN17:BN19),(BP17:BP19),(BR17:BR19),(BT17:BT19)))</f>
        <v>3600000</v>
      </c>
      <c r="BW22" s="4"/>
      <c r="BX22" s="20"/>
      <c r="CB22" s="26"/>
      <c r="CH22" s="9"/>
      <c r="CI22" s="9"/>
      <c r="CL22" s="2" t="s">
        <v>58</v>
      </c>
      <c r="CM22" s="25">
        <f>(SUM(SUM(CC17:CC19),(CE17:CE19),(CG17:CG19),(CI17:CI19),(CK17:CK19)))</f>
        <v>0</v>
      </c>
      <c r="CN22" s="4"/>
      <c r="CO22" s="20"/>
      <c r="CS22" s="26"/>
      <c r="CY22" s="9"/>
      <c r="CZ22" s="9"/>
      <c r="DC22" s="2" t="s">
        <v>58</v>
      </c>
      <c r="DD22" s="25">
        <f>(SUM(SUM(CT17:CT19),(CV17:CV19),(CX17:CX19),(CZ17:CZ19),(DB17:DB19)))</f>
        <v>3600000</v>
      </c>
      <c r="DE22" s="4"/>
      <c r="DF22" s="20"/>
      <c r="DJ22" s="26"/>
      <c r="DP22" s="9"/>
      <c r="DQ22" s="9"/>
      <c r="DT22" s="2" t="s">
        <v>58</v>
      </c>
      <c r="DU22" s="25">
        <f>(SUM(SUM(DK17:DK19),(DM17:DM19),(DO17:DO19),(DQ17:DQ19),(DS17:DS19)))</f>
        <v>0</v>
      </c>
      <c r="DV22" s="4"/>
      <c r="DW22" s="2" t="s">
        <v>59</v>
      </c>
      <c r="EB22" s="2"/>
      <c r="ED22" s="9"/>
      <c r="EG22" s="9"/>
      <c r="EH22" s="9"/>
      <c r="EK22" s="2" t="s">
        <v>57</v>
      </c>
      <c r="EL22" s="25">
        <f>SUM(DZ18:DZ20)</f>
        <v>5080000</v>
      </c>
      <c r="EM22" s="4"/>
      <c r="EN22" s="2" t="s">
        <v>60</v>
      </c>
      <c r="ES22" s="2"/>
      <c r="EU22" s="9"/>
      <c r="EX22" s="9"/>
      <c r="EY22" s="9"/>
      <c r="FB22" s="2" t="s">
        <v>57</v>
      </c>
      <c r="FC22" s="25">
        <f>SUM(EQ18:EQ20)</f>
        <v>18600000</v>
      </c>
      <c r="FD22" s="4"/>
      <c r="FE22" s="2" t="s">
        <v>61</v>
      </c>
      <c r="FJ22" s="2"/>
      <c r="FL22" s="9"/>
      <c r="FO22" s="9"/>
      <c r="FP22" s="9"/>
      <c r="FS22" s="2" t="s">
        <v>57</v>
      </c>
      <c r="FT22" s="25">
        <f>SUM(FH18:FH20)</f>
        <v>6400000</v>
      </c>
      <c r="FU22" s="4"/>
    </row>
    <row r="23">
      <c r="H23" s="9"/>
      <c r="J23" s="2" t="s">
        <v>62</v>
      </c>
      <c r="K23" s="25">
        <f>(J17*0.11)+(J18*0.11)+(J19*0.11)</f>
        <v>1907400</v>
      </c>
      <c r="M23" s="20"/>
      <c r="T23" s="9"/>
      <c r="V23" s="2" t="s">
        <v>62</v>
      </c>
      <c r="W23" s="25">
        <f>(V17*0.11)+(V18*0.11)+(V19*0.11)</f>
        <v>224400</v>
      </c>
      <c r="Y23" s="20"/>
      <c r="AI23" s="9"/>
      <c r="AJ23" s="9"/>
      <c r="AM23" s="2" t="s">
        <v>62</v>
      </c>
      <c r="AN23" s="25">
        <f>(AM17*0.11)+(AM18*0.11)+(AM19*0.11)</f>
        <v>1302840</v>
      </c>
      <c r="AO23" s="4"/>
      <c r="AZ23" s="9"/>
      <c r="BA23" s="9"/>
      <c r="BD23" s="2" t="s">
        <v>62</v>
      </c>
      <c r="BE23" s="25">
        <f>(BD17*0.11)+(BD18*0.11)+(BD19*0.11)</f>
        <v>3300000</v>
      </c>
      <c r="BF23" s="4"/>
      <c r="BG23" s="20"/>
      <c r="BQ23" s="9"/>
      <c r="BR23" s="9"/>
      <c r="BU23" s="2" t="s">
        <v>62</v>
      </c>
      <c r="BV23" s="25">
        <f>(BU17*0.11)+(BU18*0.11)+(BU19*0.11)</f>
        <v>2244000</v>
      </c>
      <c r="BW23" s="4"/>
      <c r="BX23" s="20"/>
      <c r="CH23" s="9"/>
      <c r="CI23" s="9"/>
      <c r="CL23" s="2" t="s">
        <v>62</v>
      </c>
      <c r="CM23" s="25">
        <f>(CL17*0.11)+(CL18*0.11)+(CL19*0.11)</f>
        <v>1045000</v>
      </c>
      <c r="CN23" s="4"/>
      <c r="CO23" s="20"/>
      <c r="CY23" s="9"/>
      <c r="CZ23" s="9"/>
      <c r="DC23" s="2" t="s">
        <v>62</v>
      </c>
      <c r="DD23" s="25">
        <f>(DC17*0.11)+(DC18*0.11)+(DC19*0.11)</f>
        <v>2244000</v>
      </c>
      <c r="DE23" s="4"/>
      <c r="DF23" s="20"/>
      <c r="DP23" s="9"/>
      <c r="DQ23" s="9"/>
      <c r="DT23" s="2" t="s">
        <v>62</v>
      </c>
      <c r="DU23" s="25">
        <f>(DT17*0.11)+(DT18*0.11)+(DT19*0.11)</f>
        <v>2640000</v>
      </c>
      <c r="DV23" s="4"/>
      <c r="EB23" s="2"/>
      <c r="ED23" s="9"/>
      <c r="EG23" s="9"/>
      <c r="EH23" s="9"/>
      <c r="EK23" s="2" t="s">
        <v>58</v>
      </c>
      <c r="EL23" s="25">
        <f>(SUM(SUM(EB18:EB20),(ED18:ED20),(EF18:EF20),(EH18:EH20),(EJ18:EJ20)))</f>
        <v>0</v>
      </c>
      <c r="EM23" s="4"/>
      <c r="ES23" s="2"/>
      <c r="EU23" s="9"/>
      <c r="EX23" s="9"/>
      <c r="EY23" s="9"/>
      <c r="FB23" s="2" t="s">
        <v>58</v>
      </c>
      <c r="FC23" s="25">
        <f>(SUM(SUM(ES18:ES20),(EU18:EU20),(EW18:EW20),(EY18:EY20),(FA18:FA20)))</f>
        <v>0</v>
      </c>
      <c r="FD23" s="4"/>
      <c r="FJ23" s="2"/>
      <c r="FL23" s="9"/>
      <c r="FO23" s="9"/>
      <c r="FP23" s="9"/>
      <c r="FS23" s="2" t="s">
        <v>58</v>
      </c>
      <c r="FT23" s="25">
        <f>(SUM(SUM(FJ18:FJ20),(FL18:FL20),(FN18:FN20),(FP18:FP20),(FR18:FR20)))</f>
        <v>0</v>
      </c>
      <c r="FU23" s="4"/>
    </row>
    <row r="24">
      <c r="J24" s="2" t="s">
        <v>63</v>
      </c>
      <c r="K24" s="25">
        <f>K21-K22+K23</f>
        <v>19247400</v>
      </c>
      <c r="M24" s="20"/>
      <c r="V24" s="2" t="s">
        <v>63</v>
      </c>
      <c r="W24" s="25">
        <f>W21-W22+W23</f>
        <v>2264400</v>
      </c>
      <c r="Y24" s="20"/>
      <c r="AM24" s="2" t="s">
        <v>63</v>
      </c>
      <c r="AN24" s="25">
        <f>AN21-AN22+AN23</f>
        <v>13146840</v>
      </c>
      <c r="AO24" s="4"/>
      <c r="BD24" s="2" t="s">
        <v>63</v>
      </c>
      <c r="BE24" s="25">
        <f>BE21-BE22+BE23</f>
        <v>33300000</v>
      </c>
      <c r="BF24" s="4"/>
      <c r="BG24" s="20"/>
      <c r="BU24" s="2" t="s">
        <v>63</v>
      </c>
      <c r="BV24" s="25">
        <f>BV21-BV22+BV23</f>
        <v>22644000</v>
      </c>
      <c r="BW24" s="4"/>
      <c r="BX24" s="20"/>
      <c r="CL24" s="2" t="s">
        <v>63</v>
      </c>
      <c r="CM24" s="25">
        <f>CM21-CM22+CM23</f>
        <v>10545000</v>
      </c>
      <c r="CN24" s="4"/>
      <c r="CO24" s="20"/>
      <c r="DC24" s="2" t="s">
        <v>63</v>
      </c>
      <c r="DD24" s="25">
        <f>DD21-DD22+DD23</f>
        <v>22644000</v>
      </c>
      <c r="DE24" s="4"/>
      <c r="DF24" s="20"/>
      <c r="DT24" s="2" t="s">
        <v>63</v>
      </c>
      <c r="DU24" s="25">
        <f>DU21-DU22+DU23</f>
        <v>26640000</v>
      </c>
      <c r="DV24" s="4"/>
      <c r="DW24" s="20"/>
      <c r="EK24" s="2" t="s">
        <v>62</v>
      </c>
      <c r="EL24" s="25">
        <f>(EK18*0.11)+(EK19*0.11)+(EK20*0.11)</f>
        <v>558800</v>
      </c>
      <c r="EM24" s="4"/>
      <c r="EN24" s="20"/>
      <c r="FB24" s="2" t="s">
        <v>62</v>
      </c>
      <c r="FC24" s="25">
        <f>(FB18*0.11)+(FB19*0.11)+(FB20*0.11)</f>
        <v>2046000</v>
      </c>
      <c r="FD24" s="4"/>
      <c r="FE24" s="20"/>
      <c r="FS24" s="2" t="s">
        <v>62</v>
      </c>
      <c r="FT24" s="25">
        <f>(FS18*0.11)+(FS19*0.11)+(FS20*0.11)</f>
        <v>704000</v>
      </c>
      <c r="FU24" s="4"/>
    </row>
    <row r="25">
      <c r="H25" s="9"/>
      <c r="I25" s="28"/>
      <c r="J25" s="29"/>
      <c r="M25" s="20"/>
      <c r="R25" s="28"/>
      <c r="T25" s="9"/>
      <c r="V25" s="2"/>
      <c r="Y25" s="20"/>
      <c r="AA25" s="28"/>
      <c r="AE25" s="28"/>
      <c r="AI25" s="9"/>
      <c r="AJ25" s="9"/>
      <c r="AM25" s="2"/>
      <c r="AN25" s="28"/>
      <c r="AO25" s="30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31"/>
      <c r="BA25" s="31"/>
      <c r="BB25" s="28"/>
      <c r="BC25" s="28"/>
      <c r="BD25" s="29"/>
      <c r="BE25" s="28"/>
      <c r="BF25" s="30"/>
      <c r="BG25" s="32"/>
      <c r="BH25" s="28"/>
      <c r="BI25" s="28"/>
      <c r="BJ25" s="28"/>
      <c r="BK25" s="28"/>
      <c r="BL25" s="28"/>
      <c r="BM25" s="28"/>
      <c r="BN25" s="28"/>
      <c r="BO25" s="28"/>
      <c r="BP25" s="28"/>
      <c r="BQ25" s="31"/>
      <c r="BR25" s="31"/>
      <c r="BS25" s="28"/>
      <c r="BT25" s="28"/>
      <c r="BU25" s="29"/>
      <c r="BV25" s="28"/>
      <c r="BW25" s="30"/>
      <c r="BX25" s="32"/>
      <c r="BY25" s="28"/>
      <c r="BZ25" s="28"/>
      <c r="CA25" s="28"/>
      <c r="CB25" s="28"/>
      <c r="CC25" s="28"/>
      <c r="CD25" s="28"/>
      <c r="CE25" s="28"/>
      <c r="CF25" s="28"/>
      <c r="CG25" s="28"/>
      <c r="CH25" s="31"/>
      <c r="CI25" s="31"/>
      <c r="CJ25" s="28"/>
      <c r="CK25" s="28"/>
      <c r="CL25" s="29"/>
      <c r="CM25" s="28"/>
      <c r="CN25" s="30"/>
      <c r="CO25" s="32"/>
      <c r="CP25" s="28"/>
      <c r="CQ25" s="28"/>
      <c r="CR25" s="28"/>
      <c r="CS25" s="28"/>
      <c r="CT25" s="28"/>
      <c r="CU25" s="28"/>
      <c r="CV25" s="28"/>
      <c r="CW25" s="28"/>
      <c r="CX25" s="28"/>
      <c r="CY25" s="31"/>
      <c r="CZ25" s="31"/>
      <c r="DA25" s="28"/>
      <c r="DB25" s="28"/>
      <c r="DC25" s="29"/>
      <c r="DD25" s="28"/>
      <c r="DE25" s="30"/>
      <c r="DF25" s="32"/>
      <c r="DG25" s="28"/>
      <c r="DH25" s="28"/>
      <c r="DI25" s="28"/>
      <c r="DJ25" s="28"/>
      <c r="DK25" s="28"/>
      <c r="DL25" s="28"/>
      <c r="DM25" s="28"/>
      <c r="DN25" s="28"/>
      <c r="DO25" s="28"/>
      <c r="DP25" s="31"/>
      <c r="DQ25" s="31"/>
      <c r="DR25" s="28"/>
      <c r="DS25" s="28"/>
      <c r="DT25" s="29"/>
      <c r="DU25" s="28"/>
      <c r="DV25" s="30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9" t="s">
        <v>63</v>
      </c>
      <c r="EL25" s="33">
        <f>EL22-EL23+EL24</f>
        <v>5638800</v>
      </c>
      <c r="EM25" s="30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9" t="s">
        <v>63</v>
      </c>
      <c r="FC25" s="33">
        <f>FC22-FC23+FC24</f>
        <v>20646000</v>
      </c>
      <c r="FD25" s="30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  <c r="FS25" s="29" t="s">
        <v>63</v>
      </c>
      <c r="FT25" s="33">
        <f>FT22-FT23+FT24</f>
        <v>7104000</v>
      </c>
      <c r="FU25" s="30"/>
    </row>
    <row r="26">
      <c r="A26" s="34"/>
      <c r="B26" s="34"/>
      <c r="C26" s="34"/>
      <c r="D26" s="34"/>
      <c r="E26" s="34"/>
      <c r="F26" s="34"/>
      <c r="G26" s="34"/>
      <c r="H26" s="34"/>
      <c r="J26" s="34"/>
      <c r="K26" s="34"/>
      <c r="L26" s="34"/>
      <c r="M26" s="34"/>
      <c r="N26" s="34"/>
      <c r="O26" s="34"/>
      <c r="P26" s="34"/>
      <c r="Q26" s="34"/>
      <c r="S26" s="34"/>
      <c r="T26" s="34"/>
      <c r="U26" s="34"/>
      <c r="V26" s="34"/>
      <c r="W26" s="34"/>
      <c r="X26" s="34"/>
      <c r="Y26" s="34"/>
      <c r="Z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9" max="9" width="8.75"/>
    <col customWidth="1" min="10" max="10" width="11.0"/>
    <col customWidth="1" min="11" max="11" width="13.13"/>
    <col customWidth="1" min="12" max="12" width="10.88"/>
    <col customWidth="1" min="13" max="13" width="12.13"/>
    <col customWidth="1" min="14" max="14" width="11.75"/>
    <col customWidth="1" min="15" max="15" width="8.75"/>
    <col customWidth="1" min="16" max="16" width="11.0"/>
    <col customWidth="1" min="17" max="18" width="8.75"/>
    <col customWidth="1" min="19" max="19" width="7.25"/>
    <col customWidth="1" min="26" max="26" width="14.5"/>
    <col customWidth="1" min="27" max="27" width="11.63"/>
    <col customWidth="1" min="28" max="28" width="25.13"/>
    <col customWidth="1" min="41" max="41" width="9.0"/>
    <col customWidth="1" min="42" max="42" width="18.25"/>
    <col customWidth="1" min="43" max="43" width="9.5"/>
    <col customWidth="1" min="44" max="44" width="10.25"/>
    <col customWidth="1" min="45" max="45" width="11.75"/>
    <col customWidth="1" min="46" max="46" width="13.13"/>
    <col customWidth="1" min="47" max="47" width="9.0"/>
    <col customWidth="1" min="48" max="48" width="13.13"/>
    <col customWidth="1" min="49" max="49" width="9.0"/>
    <col customWidth="1" min="50" max="50" width="13.13"/>
    <col customWidth="1" min="51" max="51" width="8.5"/>
    <col customWidth="1" min="52" max="52" width="13.13"/>
    <col customWidth="1" min="60" max="60" width="14.5"/>
  </cols>
  <sheetData>
    <row r="1">
      <c r="A1" s="1" t="s">
        <v>0</v>
      </c>
      <c r="B1" s="2" t="s">
        <v>1</v>
      </c>
      <c r="J1" s="1"/>
      <c r="M1" s="3" t="s">
        <v>2</v>
      </c>
      <c r="N1" s="2" t="s">
        <v>3</v>
      </c>
      <c r="V1" s="1"/>
      <c r="Y1" s="3" t="s">
        <v>0</v>
      </c>
      <c r="Z1" s="2" t="s">
        <v>5</v>
      </c>
      <c r="AM1" s="1"/>
      <c r="AO1" s="4"/>
      <c r="AP1" s="1" t="s">
        <v>2</v>
      </c>
      <c r="AQ1" s="2" t="s">
        <v>5</v>
      </c>
      <c r="BD1" s="1"/>
      <c r="BF1" s="4"/>
      <c r="BG1" s="3" t="s">
        <v>0</v>
      </c>
      <c r="BH1" s="2" t="s">
        <v>6</v>
      </c>
      <c r="BU1" s="1"/>
      <c r="BW1" s="4"/>
      <c r="BX1" s="3" t="s">
        <v>2</v>
      </c>
      <c r="BY1" s="2" t="s">
        <v>7</v>
      </c>
      <c r="CL1" s="1"/>
      <c r="CN1" s="4"/>
      <c r="CO1" s="3" t="s">
        <v>0</v>
      </c>
      <c r="CP1" s="2" t="s">
        <v>8</v>
      </c>
      <c r="DC1" s="1"/>
      <c r="DE1" s="4"/>
      <c r="DF1" s="1" t="s">
        <v>9</v>
      </c>
      <c r="DG1" s="2" t="s">
        <v>10</v>
      </c>
      <c r="DT1" s="1"/>
      <c r="DV1" s="4"/>
      <c r="DW1" s="3" t="s">
        <v>2</v>
      </c>
      <c r="DX1" s="2" t="s">
        <v>11</v>
      </c>
      <c r="EM1" s="4"/>
      <c r="EN1" s="3" t="s">
        <v>2</v>
      </c>
      <c r="EO1" s="2" t="s">
        <v>12</v>
      </c>
      <c r="FD1" s="4"/>
      <c r="FE1" s="3" t="s">
        <v>2</v>
      </c>
      <c r="FF1" s="2" t="s">
        <v>12</v>
      </c>
      <c r="FU1" s="4"/>
    </row>
    <row r="2">
      <c r="A2" s="1" t="s">
        <v>13</v>
      </c>
      <c r="E2" s="1" t="s">
        <v>14</v>
      </c>
      <c r="J2" s="1"/>
      <c r="M2" s="3" t="s">
        <v>13</v>
      </c>
      <c r="Q2" s="1" t="s">
        <v>14</v>
      </c>
      <c r="V2" s="1"/>
      <c r="Y2" s="3" t="s">
        <v>13</v>
      </c>
      <c r="AC2" s="1" t="s">
        <v>14</v>
      </c>
      <c r="AM2" s="1"/>
      <c r="AO2" s="4"/>
      <c r="AP2" s="1" t="s">
        <v>13</v>
      </c>
      <c r="AT2" s="1" t="s">
        <v>14</v>
      </c>
      <c r="BD2" s="1"/>
      <c r="BF2" s="4"/>
      <c r="BG2" s="3" t="s">
        <v>13</v>
      </c>
      <c r="BK2" s="1" t="s">
        <v>14</v>
      </c>
      <c r="BU2" s="1"/>
      <c r="BW2" s="4"/>
      <c r="BX2" s="3" t="s">
        <v>13</v>
      </c>
      <c r="CB2" s="1" t="s">
        <v>14</v>
      </c>
      <c r="CL2" s="1"/>
      <c r="CN2" s="4"/>
      <c r="CO2" s="3" t="s">
        <v>13</v>
      </c>
      <c r="CS2" s="1" t="s">
        <v>14</v>
      </c>
      <c r="DC2" s="1"/>
      <c r="DE2" s="4"/>
      <c r="DF2" s="3" t="s">
        <v>13</v>
      </c>
      <c r="DJ2" s="1" t="s">
        <v>14</v>
      </c>
      <c r="DT2" s="1"/>
      <c r="DV2" s="4"/>
      <c r="DW2" s="3" t="s">
        <v>13</v>
      </c>
      <c r="EA2" s="1" t="s">
        <v>14</v>
      </c>
      <c r="EM2" s="4"/>
      <c r="EN2" s="3" t="s">
        <v>13</v>
      </c>
      <c r="ER2" s="1" t="s">
        <v>14</v>
      </c>
      <c r="FD2" s="4"/>
      <c r="FE2" s="3" t="s">
        <v>13</v>
      </c>
      <c r="FI2" s="1" t="s">
        <v>14</v>
      </c>
      <c r="FU2" s="4"/>
    </row>
    <row r="3">
      <c r="A3" s="5" t="s">
        <v>15</v>
      </c>
      <c r="B3" s="5">
        <v>3000000.0</v>
      </c>
      <c r="C3" s="5">
        <v>5000000.0</v>
      </c>
      <c r="D3" s="5"/>
      <c r="E3" s="6">
        <v>0.01</v>
      </c>
      <c r="F3" s="7"/>
      <c r="G3" s="8"/>
      <c r="H3" s="8"/>
      <c r="J3" s="9"/>
      <c r="K3" s="9"/>
      <c r="L3" s="10"/>
      <c r="M3" s="11" t="s">
        <v>15</v>
      </c>
      <c r="N3" s="5">
        <v>3000000.0</v>
      </c>
      <c r="O3" s="5">
        <v>5000000.0</v>
      </c>
      <c r="P3" s="5"/>
      <c r="Q3" s="6">
        <v>0.01</v>
      </c>
      <c r="R3" s="7"/>
      <c r="S3" s="8"/>
      <c r="T3" s="8"/>
      <c r="V3" s="9"/>
      <c r="W3" s="9"/>
      <c r="X3" s="10"/>
      <c r="Y3" s="11" t="s">
        <v>15</v>
      </c>
      <c r="Z3" s="5">
        <v>3000000.0</v>
      </c>
      <c r="AA3" s="5">
        <v>5000000.0</v>
      </c>
      <c r="AB3" s="5"/>
      <c r="AC3" s="6">
        <v>0.01</v>
      </c>
      <c r="AD3" s="7"/>
      <c r="AE3" s="7"/>
      <c r="AF3" s="8"/>
      <c r="AG3" s="8"/>
      <c r="AH3" s="8"/>
      <c r="AI3" s="8"/>
      <c r="AJ3" s="8"/>
      <c r="AM3" s="9"/>
      <c r="AN3" s="9"/>
      <c r="AO3" s="12"/>
      <c r="AP3" s="5" t="s">
        <v>15</v>
      </c>
      <c r="AQ3" s="5">
        <v>3000000.0</v>
      </c>
      <c r="AR3" s="5">
        <v>5000000.0</v>
      </c>
      <c r="AS3" s="5"/>
      <c r="AT3" s="6">
        <v>0.01</v>
      </c>
      <c r="AU3" s="7"/>
      <c r="AV3" s="7"/>
      <c r="AW3" s="8"/>
      <c r="AX3" s="8"/>
      <c r="AY3" s="8"/>
      <c r="AZ3" s="8"/>
      <c r="BA3" s="8"/>
      <c r="BD3" s="9"/>
      <c r="BE3" s="9"/>
      <c r="BF3" s="12"/>
      <c r="BG3" s="11" t="s">
        <v>15</v>
      </c>
      <c r="BH3" s="5">
        <v>3000000.0</v>
      </c>
      <c r="BI3" s="5">
        <v>5000000.0</v>
      </c>
      <c r="BJ3" s="5"/>
      <c r="BK3" s="6">
        <v>0.01</v>
      </c>
      <c r="BL3" s="7"/>
      <c r="BM3" s="7"/>
      <c r="BN3" s="8"/>
      <c r="BO3" s="8"/>
      <c r="BP3" s="8"/>
      <c r="BQ3" s="8"/>
      <c r="BR3" s="8"/>
      <c r="BU3" s="9"/>
      <c r="BV3" s="9"/>
      <c r="BW3" s="12"/>
      <c r="BX3" s="11" t="s">
        <v>15</v>
      </c>
      <c r="BY3" s="5">
        <v>3000000.0</v>
      </c>
      <c r="BZ3" s="5">
        <v>5000000.0</v>
      </c>
      <c r="CA3" s="5"/>
      <c r="CB3" s="6">
        <v>0.01</v>
      </c>
      <c r="CC3" s="7"/>
      <c r="CD3" s="7"/>
      <c r="CE3" s="8"/>
      <c r="CF3" s="8"/>
      <c r="CG3" s="8"/>
      <c r="CH3" s="8"/>
      <c r="CI3" s="8"/>
      <c r="CL3" s="9"/>
      <c r="CM3" s="9"/>
      <c r="CN3" s="12"/>
      <c r="CO3" s="11" t="s">
        <v>15</v>
      </c>
      <c r="CP3" s="5">
        <v>3000000.0</v>
      </c>
      <c r="CQ3" s="5">
        <v>5000000.0</v>
      </c>
      <c r="CR3" s="5"/>
      <c r="CS3" s="6">
        <v>0.01</v>
      </c>
      <c r="CT3" s="7"/>
      <c r="CU3" s="7"/>
      <c r="CV3" s="8"/>
      <c r="CW3" s="8"/>
      <c r="CX3" s="8"/>
      <c r="CY3" s="8"/>
      <c r="CZ3" s="8"/>
      <c r="DC3" s="9"/>
      <c r="DD3" s="9"/>
      <c r="DE3" s="12"/>
      <c r="DF3" s="11" t="s">
        <v>15</v>
      </c>
      <c r="DG3" s="5">
        <v>3000000.0</v>
      </c>
      <c r="DH3" s="5">
        <v>5000000.0</v>
      </c>
      <c r="DI3" s="5"/>
      <c r="DJ3" s="6">
        <v>0.01</v>
      </c>
      <c r="DK3" s="7"/>
      <c r="DL3" s="7"/>
      <c r="DM3" s="8"/>
      <c r="DN3" s="8"/>
      <c r="DO3" s="8"/>
      <c r="DP3" s="8"/>
      <c r="DQ3" s="8"/>
      <c r="DT3" s="9"/>
      <c r="DU3" s="9"/>
      <c r="DV3" s="12"/>
      <c r="DW3" s="11" t="s">
        <v>15</v>
      </c>
      <c r="DX3" s="5">
        <v>3000000.0</v>
      </c>
      <c r="DY3" s="5">
        <v>5000000.0</v>
      </c>
      <c r="DZ3" s="5"/>
      <c r="EA3" s="6">
        <v>0.01</v>
      </c>
      <c r="EB3" s="7"/>
      <c r="EC3" s="7"/>
      <c r="ED3" s="10"/>
      <c r="EE3" s="10"/>
      <c r="EF3" s="10"/>
      <c r="EG3" s="10"/>
      <c r="EH3" s="10"/>
      <c r="EI3" s="10"/>
      <c r="EJ3" s="10"/>
      <c r="EK3" s="10"/>
      <c r="EL3" s="10"/>
      <c r="EM3" s="12"/>
      <c r="EN3" s="11" t="s">
        <v>15</v>
      </c>
      <c r="EO3" s="5">
        <v>3000000.0</v>
      </c>
      <c r="EP3" s="5">
        <v>5000000.0</v>
      </c>
      <c r="EQ3" s="5"/>
      <c r="ER3" s="6">
        <v>0.01</v>
      </c>
      <c r="ES3" s="7"/>
      <c r="ET3" s="7"/>
      <c r="EU3" s="10"/>
      <c r="EV3" s="10"/>
      <c r="EW3" s="10"/>
      <c r="EX3" s="10"/>
      <c r="EY3" s="10"/>
      <c r="EZ3" s="10"/>
      <c r="FA3" s="10"/>
      <c r="FB3" s="10"/>
      <c r="FC3" s="10"/>
      <c r="FD3" s="12"/>
      <c r="FE3" s="11" t="s">
        <v>15</v>
      </c>
      <c r="FF3" s="5">
        <v>3000000.0</v>
      </c>
      <c r="FG3" s="5">
        <v>5000000.0</v>
      </c>
      <c r="FH3" s="5"/>
      <c r="FI3" s="6">
        <v>0.01</v>
      </c>
      <c r="FJ3" s="7"/>
      <c r="FK3" s="7"/>
      <c r="FL3" s="10"/>
      <c r="FM3" s="10"/>
      <c r="FN3" s="10"/>
      <c r="FO3" s="10"/>
      <c r="FP3" s="10"/>
      <c r="FQ3" s="10"/>
      <c r="FR3" s="10"/>
      <c r="FS3" s="10"/>
      <c r="FT3" s="10"/>
      <c r="FU3" s="12"/>
      <c r="FV3" s="10"/>
      <c r="FW3" s="10"/>
      <c r="FX3" s="10"/>
      <c r="FY3" s="10"/>
      <c r="FZ3" s="10"/>
      <c r="GA3" s="10"/>
    </row>
    <row r="4">
      <c r="A4" s="5" t="s">
        <v>16</v>
      </c>
      <c r="B4" s="5">
        <v>5000001.0</v>
      </c>
      <c r="C4" s="5">
        <v>1.0E7</v>
      </c>
      <c r="D4" s="13"/>
      <c r="E4" s="6">
        <v>0.02</v>
      </c>
      <c r="F4" s="13"/>
      <c r="G4" s="13"/>
      <c r="H4" s="13"/>
      <c r="J4" s="2"/>
      <c r="M4" s="11" t="s">
        <v>16</v>
      </c>
      <c r="N4" s="5">
        <v>5000001.0</v>
      </c>
      <c r="O4" s="5">
        <v>1.0E7</v>
      </c>
      <c r="P4" s="13"/>
      <c r="Q4" s="6">
        <v>0.02</v>
      </c>
      <c r="R4" s="13"/>
      <c r="S4" s="13"/>
      <c r="T4" s="13"/>
      <c r="V4" s="2"/>
      <c r="Y4" s="11" t="s">
        <v>16</v>
      </c>
      <c r="Z4" s="5">
        <v>5000001.0</v>
      </c>
      <c r="AA4" s="5">
        <v>1.0E7</v>
      </c>
      <c r="AB4" s="13"/>
      <c r="AC4" s="6">
        <v>0.02</v>
      </c>
      <c r="AD4" s="13"/>
      <c r="AE4" s="13"/>
      <c r="AF4" s="13"/>
      <c r="AG4" s="13"/>
      <c r="AH4" s="13"/>
      <c r="AI4" s="13"/>
      <c r="AJ4" s="13"/>
      <c r="AM4" s="2"/>
      <c r="AO4" s="4"/>
      <c r="AP4" s="5" t="s">
        <v>16</v>
      </c>
      <c r="AQ4" s="5">
        <v>5000001.0</v>
      </c>
      <c r="AR4" s="5">
        <v>1.0E7</v>
      </c>
      <c r="AS4" s="13"/>
      <c r="AT4" s="6">
        <v>0.02</v>
      </c>
      <c r="AU4" s="13"/>
      <c r="AV4" s="13"/>
      <c r="AW4" s="13"/>
      <c r="AX4" s="13"/>
      <c r="AY4" s="13"/>
      <c r="AZ4" s="13"/>
      <c r="BA4" s="13"/>
      <c r="BD4" s="2"/>
      <c r="BF4" s="4"/>
      <c r="BG4" s="11" t="s">
        <v>16</v>
      </c>
      <c r="BH4" s="5">
        <v>5000001.0</v>
      </c>
      <c r="BI4" s="5">
        <v>1.0E7</v>
      </c>
      <c r="BJ4" s="13"/>
      <c r="BK4" s="6">
        <v>0.02</v>
      </c>
      <c r="BL4" s="13"/>
      <c r="BM4" s="13"/>
      <c r="BN4" s="13"/>
      <c r="BO4" s="13"/>
      <c r="BP4" s="13"/>
      <c r="BQ4" s="13"/>
      <c r="BR4" s="13"/>
      <c r="BU4" s="2"/>
      <c r="BW4" s="4"/>
      <c r="BX4" s="11" t="s">
        <v>16</v>
      </c>
      <c r="BY4" s="5">
        <v>5000001.0</v>
      </c>
      <c r="BZ4" s="5">
        <v>1.0E7</v>
      </c>
      <c r="CA4" s="13"/>
      <c r="CB4" s="6">
        <v>0.02</v>
      </c>
      <c r="CC4" s="13"/>
      <c r="CD4" s="13"/>
      <c r="CE4" s="13"/>
      <c r="CF4" s="13"/>
      <c r="CG4" s="13"/>
      <c r="CH4" s="13"/>
      <c r="CI4" s="13"/>
      <c r="CL4" s="2"/>
      <c r="CN4" s="4"/>
      <c r="CO4" s="11" t="s">
        <v>16</v>
      </c>
      <c r="CP4" s="5">
        <v>5000001.0</v>
      </c>
      <c r="CQ4" s="5">
        <v>1.0E7</v>
      </c>
      <c r="CR4" s="13"/>
      <c r="CS4" s="6">
        <v>0.02</v>
      </c>
      <c r="CT4" s="13"/>
      <c r="CU4" s="13"/>
      <c r="CV4" s="13"/>
      <c r="CW4" s="13"/>
      <c r="CX4" s="13"/>
      <c r="CY4" s="13"/>
      <c r="CZ4" s="13"/>
      <c r="DC4" s="2"/>
      <c r="DE4" s="4"/>
      <c r="DF4" s="11" t="s">
        <v>16</v>
      </c>
      <c r="DG4" s="5">
        <v>5000001.0</v>
      </c>
      <c r="DH4" s="5">
        <v>1.0E7</v>
      </c>
      <c r="DI4" s="13"/>
      <c r="DJ4" s="6">
        <v>0.02</v>
      </c>
      <c r="DK4" s="13"/>
      <c r="DL4" s="13"/>
      <c r="DM4" s="13"/>
      <c r="DN4" s="13"/>
      <c r="DO4" s="13"/>
      <c r="DP4" s="13"/>
      <c r="DQ4" s="13"/>
      <c r="DT4" s="2"/>
      <c r="DV4" s="4"/>
      <c r="DW4" s="11" t="s">
        <v>16</v>
      </c>
      <c r="DX4" s="5">
        <v>5000001.0</v>
      </c>
      <c r="DY4" s="5">
        <v>1.0E7</v>
      </c>
      <c r="DZ4" s="13"/>
      <c r="EA4" s="6">
        <v>0.02</v>
      </c>
      <c r="EB4" s="13"/>
      <c r="EC4" s="13"/>
      <c r="EM4" s="4"/>
      <c r="EN4" s="11" t="s">
        <v>16</v>
      </c>
      <c r="EO4" s="5">
        <v>5000001.0</v>
      </c>
      <c r="EP4" s="5">
        <v>1.0E7</v>
      </c>
      <c r="EQ4" s="13"/>
      <c r="ER4" s="6">
        <v>0.02</v>
      </c>
      <c r="ES4" s="13"/>
      <c r="ET4" s="13"/>
      <c r="FD4" s="4"/>
      <c r="FE4" s="11" t="s">
        <v>16</v>
      </c>
      <c r="FF4" s="5">
        <v>5000001.0</v>
      </c>
      <c r="FG4" s="5">
        <v>1.0E7</v>
      </c>
      <c r="FH4" s="13"/>
      <c r="FI4" s="6">
        <v>0.02</v>
      </c>
      <c r="FJ4" s="13"/>
      <c r="FK4" s="13"/>
      <c r="FU4" s="4"/>
    </row>
    <row r="5">
      <c r="A5" s="5" t="s">
        <v>17</v>
      </c>
      <c r="B5" s="5">
        <v>1.0000001E7</v>
      </c>
      <c r="C5" s="5">
        <v>1.5E7</v>
      </c>
      <c r="D5" s="14"/>
      <c r="E5" s="15">
        <v>0.03</v>
      </c>
      <c r="F5" s="8"/>
      <c r="G5" s="8"/>
      <c r="H5" s="8"/>
      <c r="J5" s="9"/>
      <c r="K5" s="9"/>
      <c r="L5" s="10"/>
      <c r="M5" s="11" t="s">
        <v>17</v>
      </c>
      <c r="N5" s="5">
        <v>1.0000001E7</v>
      </c>
      <c r="O5" s="5">
        <v>1.5E7</v>
      </c>
      <c r="P5" s="14"/>
      <c r="Q5" s="15">
        <v>0.03</v>
      </c>
      <c r="R5" s="8"/>
      <c r="S5" s="8"/>
      <c r="T5" s="8"/>
      <c r="V5" s="9"/>
      <c r="W5" s="9"/>
      <c r="X5" s="10"/>
      <c r="Y5" s="11" t="s">
        <v>17</v>
      </c>
      <c r="Z5" s="5">
        <v>1.0000001E7</v>
      </c>
      <c r="AA5" s="5">
        <v>1.5E7</v>
      </c>
      <c r="AB5" s="14"/>
      <c r="AC5" s="15">
        <v>0.03</v>
      </c>
      <c r="AD5" s="8"/>
      <c r="AE5" s="8"/>
      <c r="AF5" s="8"/>
      <c r="AG5" s="8"/>
      <c r="AH5" s="8"/>
      <c r="AI5" s="8"/>
      <c r="AJ5" s="8"/>
      <c r="AM5" s="9"/>
      <c r="AN5" s="9"/>
      <c r="AO5" s="12"/>
      <c r="AP5" s="5" t="s">
        <v>17</v>
      </c>
      <c r="AQ5" s="5">
        <v>1.0000001E7</v>
      </c>
      <c r="AR5" s="5">
        <v>1.5E7</v>
      </c>
      <c r="AS5" s="14"/>
      <c r="AT5" s="15">
        <v>0.03</v>
      </c>
      <c r="AU5" s="8"/>
      <c r="AV5" s="8"/>
      <c r="AW5" s="8"/>
      <c r="AX5" s="8"/>
      <c r="AY5" s="8"/>
      <c r="AZ5" s="8"/>
      <c r="BA5" s="8"/>
      <c r="BD5" s="9"/>
      <c r="BE5" s="9"/>
      <c r="BF5" s="12"/>
      <c r="BG5" s="11" t="s">
        <v>17</v>
      </c>
      <c r="BH5" s="5">
        <v>1.0000001E7</v>
      </c>
      <c r="BI5" s="5">
        <v>1.5E7</v>
      </c>
      <c r="BJ5" s="14"/>
      <c r="BK5" s="15">
        <v>0.03</v>
      </c>
      <c r="BL5" s="8"/>
      <c r="BM5" s="8"/>
      <c r="BN5" s="8"/>
      <c r="BO5" s="8"/>
      <c r="BP5" s="8"/>
      <c r="BQ5" s="8"/>
      <c r="BR5" s="8"/>
      <c r="BU5" s="9"/>
      <c r="BV5" s="9"/>
      <c r="BW5" s="12"/>
      <c r="BX5" s="11" t="s">
        <v>17</v>
      </c>
      <c r="BY5" s="5">
        <v>1.0000001E7</v>
      </c>
      <c r="BZ5" s="5">
        <v>1.5E7</v>
      </c>
      <c r="CA5" s="14"/>
      <c r="CB5" s="15">
        <v>0.03</v>
      </c>
      <c r="CC5" s="8"/>
      <c r="CD5" s="8"/>
      <c r="CE5" s="8"/>
      <c r="CF5" s="8"/>
      <c r="CG5" s="8"/>
      <c r="CH5" s="8"/>
      <c r="CI5" s="8"/>
      <c r="CL5" s="9"/>
      <c r="CM5" s="9"/>
      <c r="CN5" s="12"/>
      <c r="CO5" s="11" t="s">
        <v>17</v>
      </c>
      <c r="CP5" s="5">
        <v>1.0000001E7</v>
      </c>
      <c r="CQ5" s="5">
        <v>1.5E7</v>
      </c>
      <c r="CR5" s="14"/>
      <c r="CS5" s="15">
        <v>0.03</v>
      </c>
      <c r="CT5" s="8"/>
      <c r="CU5" s="8"/>
      <c r="CV5" s="8"/>
      <c r="CW5" s="8"/>
      <c r="CX5" s="8"/>
      <c r="CY5" s="8"/>
      <c r="CZ5" s="8"/>
      <c r="DC5" s="9"/>
      <c r="DD5" s="9"/>
      <c r="DE5" s="12"/>
      <c r="DF5" s="11" t="s">
        <v>17</v>
      </c>
      <c r="DG5" s="5">
        <v>1.0000001E7</v>
      </c>
      <c r="DH5" s="5">
        <v>1.5E7</v>
      </c>
      <c r="DI5" s="14"/>
      <c r="DJ5" s="15">
        <v>0.03</v>
      </c>
      <c r="DK5" s="8"/>
      <c r="DL5" s="8"/>
      <c r="DM5" s="8"/>
      <c r="DN5" s="8"/>
      <c r="DO5" s="8"/>
      <c r="DP5" s="8"/>
      <c r="DQ5" s="8"/>
      <c r="DT5" s="9"/>
      <c r="DU5" s="9"/>
      <c r="DV5" s="12"/>
      <c r="DW5" s="11" t="s">
        <v>17</v>
      </c>
      <c r="DX5" s="5">
        <v>1.0000001E7</v>
      </c>
      <c r="DY5" s="5">
        <v>1.5E7</v>
      </c>
      <c r="DZ5" s="14"/>
      <c r="EA5" s="15">
        <v>0.03</v>
      </c>
      <c r="EB5" s="8"/>
      <c r="EC5" s="8"/>
      <c r="ED5" s="10"/>
      <c r="EE5" s="10"/>
      <c r="EF5" s="10"/>
      <c r="EG5" s="10"/>
      <c r="EH5" s="10"/>
      <c r="EI5" s="10"/>
      <c r="EJ5" s="10"/>
      <c r="EK5" s="10"/>
      <c r="EL5" s="10"/>
      <c r="EM5" s="12"/>
      <c r="EN5" s="11" t="s">
        <v>17</v>
      </c>
      <c r="EO5" s="5">
        <v>1.0000001E7</v>
      </c>
      <c r="EP5" s="5">
        <v>1.5E7</v>
      </c>
      <c r="EQ5" s="14"/>
      <c r="ER5" s="15">
        <v>0.03</v>
      </c>
      <c r="ES5" s="8"/>
      <c r="ET5" s="8"/>
      <c r="EU5" s="10"/>
      <c r="EV5" s="10"/>
      <c r="EW5" s="10"/>
      <c r="EX5" s="10"/>
      <c r="EY5" s="10"/>
      <c r="EZ5" s="10"/>
      <c r="FA5" s="10"/>
      <c r="FB5" s="10"/>
      <c r="FC5" s="10"/>
      <c r="FD5" s="12"/>
      <c r="FE5" s="11" t="s">
        <v>17</v>
      </c>
      <c r="FF5" s="5">
        <v>1.0000001E7</v>
      </c>
      <c r="FG5" s="5">
        <v>1.5E7</v>
      </c>
      <c r="FH5" s="14"/>
      <c r="FI5" s="15">
        <v>0.03</v>
      </c>
      <c r="FJ5" s="8"/>
      <c r="FK5" s="8"/>
      <c r="FL5" s="10"/>
      <c r="FM5" s="10"/>
      <c r="FN5" s="10"/>
      <c r="FO5" s="10"/>
      <c r="FP5" s="10"/>
      <c r="FQ5" s="10"/>
      <c r="FR5" s="10"/>
      <c r="FS5" s="10"/>
      <c r="FT5" s="10"/>
      <c r="FU5" s="12"/>
      <c r="FV5" s="10"/>
      <c r="FW5" s="10"/>
      <c r="FX5" s="10"/>
      <c r="FY5" s="10"/>
      <c r="FZ5" s="10"/>
      <c r="GA5" s="10"/>
    </row>
    <row r="6">
      <c r="A6" s="5" t="s">
        <v>18</v>
      </c>
      <c r="B6" s="5">
        <v>1.5000001E7</v>
      </c>
      <c r="C6" s="5">
        <v>2.0E7</v>
      </c>
      <c r="D6" s="13"/>
      <c r="E6" s="6">
        <v>0.04</v>
      </c>
      <c r="F6" s="13"/>
      <c r="G6" s="13"/>
      <c r="H6" s="13"/>
      <c r="J6" s="2"/>
      <c r="M6" s="11" t="s">
        <v>18</v>
      </c>
      <c r="N6" s="5">
        <v>1.5000001E7</v>
      </c>
      <c r="O6" s="5">
        <v>2.0E7</v>
      </c>
      <c r="P6" s="13"/>
      <c r="Q6" s="6">
        <v>0.04</v>
      </c>
      <c r="R6" s="13"/>
      <c r="S6" s="13"/>
      <c r="T6" s="13"/>
      <c r="V6" s="2"/>
      <c r="Y6" s="11" t="s">
        <v>18</v>
      </c>
      <c r="Z6" s="5">
        <v>1.5000001E7</v>
      </c>
      <c r="AA6" s="5">
        <v>2.0E7</v>
      </c>
      <c r="AB6" s="13"/>
      <c r="AC6" s="6">
        <v>0.04</v>
      </c>
      <c r="AD6" s="13"/>
      <c r="AE6" s="13"/>
      <c r="AF6" s="13"/>
      <c r="AG6" s="13"/>
      <c r="AH6" s="13"/>
      <c r="AI6" s="13"/>
      <c r="AJ6" s="13"/>
      <c r="AM6" s="2"/>
      <c r="AO6" s="4"/>
      <c r="AP6" s="5" t="s">
        <v>18</v>
      </c>
      <c r="AQ6" s="5">
        <v>1.5000001E7</v>
      </c>
      <c r="AR6" s="5">
        <v>2.0E7</v>
      </c>
      <c r="AS6" s="13"/>
      <c r="AT6" s="6">
        <v>0.04</v>
      </c>
      <c r="AU6" s="13"/>
      <c r="AV6" s="13"/>
      <c r="AW6" s="13"/>
      <c r="AX6" s="13"/>
      <c r="AY6" s="13"/>
      <c r="AZ6" s="13"/>
      <c r="BA6" s="13"/>
      <c r="BD6" s="2"/>
      <c r="BF6" s="4"/>
      <c r="BG6" s="11" t="s">
        <v>18</v>
      </c>
      <c r="BH6" s="5">
        <v>1.5000001E7</v>
      </c>
      <c r="BI6" s="5">
        <v>2.0E7</v>
      </c>
      <c r="BJ6" s="13"/>
      <c r="BK6" s="6">
        <v>0.04</v>
      </c>
      <c r="BL6" s="13"/>
      <c r="BM6" s="13"/>
      <c r="BN6" s="13"/>
      <c r="BO6" s="13"/>
      <c r="BP6" s="13"/>
      <c r="BQ6" s="13"/>
      <c r="BR6" s="13"/>
      <c r="BU6" s="2"/>
      <c r="BW6" s="4"/>
      <c r="BX6" s="11" t="s">
        <v>18</v>
      </c>
      <c r="BY6" s="5">
        <v>1.5000001E7</v>
      </c>
      <c r="BZ6" s="5">
        <v>2.0E7</v>
      </c>
      <c r="CA6" s="13"/>
      <c r="CB6" s="6">
        <v>0.04</v>
      </c>
      <c r="CC6" s="13"/>
      <c r="CD6" s="13"/>
      <c r="CE6" s="13"/>
      <c r="CF6" s="13"/>
      <c r="CG6" s="13"/>
      <c r="CH6" s="13"/>
      <c r="CI6" s="13"/>
      <c r="CL6" s="2"/>
      <c r="CN6" s="4"/>
      <c r="CO6" s="11" t="s">
        <v>18</v>
      </c>
      <c r="CP6" s="5">
        <v>1.5000001E7</v>
      </c>
      <c r="CQ6" s="5">
        <v>2.0E7</v>
      </c>
      <c r="CR6" s="13"/>
      <c r="CS6" s="6">
        <v>0.04</v>
      </c>
      <c r="CT6" s="13"/>
      <c r="CU6" s="13"/>
      <c r="CV6" s="13"/>
      <c r="CW6" s="13"/>
      <c r="CX6" s="13"/>
      <c r="CY6" s="13"/>
      <c r="CZ6" s="13"/>
      <c r="DC6" s="2"/>
      <c r="DE6" s="4"/>
      <c r="DF6" s="11" t="s">
        <v>18</v>
      </c>
      <c r="DG6" s="5">
        <v>1.5000001E7</v>
      </c>
      <c r="DH6" s="5">
        <v>2.0E7</v>
      </c>
      <c r="DI6" s="13"/>
      <c r="DJ6" s="6">
        <v>0.04</v>
      </c>
      <c r="DK6" s="13"/>
      <c r="DL6" s="13"/>
      <c r="DM6" s="13"/>
      <c r="DN6" s="13"/>
      <c r="DO6" s="13"/>
      <c r="DP6" s="13"/>
      <c r="DQ6" s="13"/>
      <c r="DT6" s="2"/>
      <c r="DV6" s="4"/>
      <c r="DW6" s="11" t="s">
        <v>18</v>
      </c>
      <c r="DX6" s="5">
        <v>1.5000001E7</v>
      </c>
      <c r="DY6" s="5">
        <v>2.0E7</v>
      </c>
      <c r="DZ6" s="13"/>
      <c r="EA6" s="6">
        <v>0.04</v>
      </c>
      <c r="EB6" s="13"/>
      <c r="EC6" s="13"/>
      <c r="EM6" s="4"/>
      <c r="EN6" s="11" t="s">
        <v>18</v>
      </c>
      <c r="EO6" s="5">
        <v>1.5000001E7</v>
      </c>
      <c r="EP6" s="5">
        <v>2.0E7</v>
      </c>
      <c r="EQ6" s="13"/>
      <c r="ER6" s="6">
        <v>0.04</v>
      </c>
      <c r="ES6" s="13"/>
      <c r="ET6" s="13"/>
      <c r="FD6" s="4"/>
      <c r="FE6" s="11" t="s">
        <v>18</v>
      </c>
      <c r="FF6" s="5">
        <v>1.5000001E7</v>
      </c>
      <c r="FG6" s="5">
        <v>2.0E7</v>
      </c>
      <c r="FH6" s="13"/>
      <c r="FI6" s="6">
        <v>0.04</v>
      </c>
      <c r="FJ6" s="13"/>
      <c r="FK6" s="13"/>
      <c r="FU6" s="4"/>
    </row>
    <row r="7">
      <c r="A7" s="5" t="s">
        <v>19</v>
      </c>
      <c r="B7" s="5">
        <v>2.0000001E7</v>
      </c>
      <c r="C7" s="5">
        <v>9.99999999E8</v>
      </c>
      <c r="D7" s="14"/>
      <c r="E7" s="15">
        <v>0.05</v>
      </c>
      <c r="F7" s="8"/>
      <c r="G7" s="8"/>
      <c r="H7" s="8"/>
      <c r="J7" s="9"/>
      <c r="K7" s="9"/>
      <c r="L7" s="10"/>
      <c r="M7" s="11" t="s">
        <v>19</v>
      </c>
      <c r="N7" s="5">
        <v>2.0000001E7</v>
      </c>
      <c r="O7" s="5">
        <v>9.99999999E8</v>
      </c>
      <c r="P7" s="14"/>
      <c r="Q7" s="15">
        <v>0.05</v>
      </c>
      <c r="R7" s="8"/>
      <c r="S7" s="8"/>
      <c r="T7" s="8"/>
      <c r="V7" s="9"/>
      <c r="W7" s="9"/>
      <c r="X7" s="10"/>
      <c r="Y7" s="11" t="s">
        <v>19</v>
      </c>
      <c r="Z7" s="5">
        <v>2.0000001E7</v>
      </c>
      <c r="AA7" s="5">
        <v>9.99999999E8</v>
      </c>
      <c r="AB7" s="14"/>
      <c r="AC7" s="15">
        <v>0.05</v>
      </c>
      <c r="AD7" s="8"/>
      <c r="AE7" s="8"/>
      <c r="AF7" s="8"/>
      <c r="AG7" s="8"/>
      <c r="AH7" s="8"/>
      <c r="AI7" s="8"/>
      <c r="AJ7" s="8"/>
      <c r="AM7" s="9"/>
      <c r="AN7" s="9"/>
      <c r="AO7" s="12"/>
      <c r="AP7" s="5" t="s">
        <v>19</v>
      </c>
      <c r="AQ7" s="5">
        <v>2.0000001E7</v>
      </c>
      <c r="AR7" s="5">
        <v>9.99999999E8</v>
      </c>
      <c r="AS7" s="14"/>
      <c r="AT7" s="15">
        <v>0.05</v>
      </c>
      <c r="AU7" s="8"/>
      <c r="AV7" s="8"/>
      <c r="AW7" s="8"/>
      <c r="AX7" s="8"/>
      <c r="AY7" s="8"/>
      <c r="AZ7" s="8"/>
      <c r="BA7" s="8"/>
      <c r="BD7" s="9"/>
      <c r="BE7" s="9"/>
      <c r="BF7" s="12"/>
      <c r="BG7" s="11" t="s">
        <v>19</v>
      </c>
      <c r="BH7" s="5">
        <v>2.0000001E7</v>
      </c>
      <c r="BI7" s="5">
        <v>9.99999999E8</v>
      </c>
      <c r="BJ7" s="14"/>
      <c r="BK7" s="15">
        <v>0.05</v>
      </c>
      <c r="BL7" s="8"/>
      <c r="BM7" s="8"/>
      <c r="BN7" s="8"/>
      <c r="BO7" s="8"/>
      <c r="BP7" s="8"/>
      <c r="BQ7" s="8"/>
      <c r="BR7" s="8"/>
      <c r="BU7" s="9"/>
      <c r="BV7" s="9"/>
      <c r="BW7" s="12"/>
      <c r="BX7" s="11" t="s">
        <v>19</v>
      </c>
      <c r="BY7" s="5">
        <v>2.0000001E7</v>
      </c>
      <c r="BZ7" s="5">
        <v>9.99999999E8</v>
      </c>
      <c r="CA7" s="14"/>
      <c r="CB7" s="15">
        <v>0.05</v>
      </c>
      <c r="CC7" s="8"/>
      <c r="CD7" s="8"/>
      <c r="CE7" s="8"/>
      <c r="CF7" s="8"/>
      <c r="CG7" s="8"/>
      <c r="CH7" s="8"/>
      <c r="CI7" s="8"/>
      <c r="CL7" s="9"/>
      <c r="CM7" s="9"/>
      <c r="CN7" s="12"/>
      <c r="CO7" s="11" t="s">
        <v>19</v>
      </c>
      <c r="CP7" s="5">
        <v>2.0000001E7</v>
      </c>
      <c r="CQ7" s="5">
        <v>9.99999999E8</v>
      </c>
      <c r="CR7" s="14"/>
      <c r="CS7" s="15">
        <v>0.05</v>
      </c>
      <c r="CT7" s="8"/>
      <c r="CU7" s="8"/>
      <c r="CV7" s="8"/>
      <c r="CW7" s="8"/>
      <c r="CX7" s="8"/>
      <c r="CY7" s="8"/>
      <c r="CZ7" s="8"/>
      <c r="DC7" s="9"/>
      <c r="DD7" s="9"/>
      <c r="DE7" s="12"/>
      <c r="DF7" s="11" t="s">
        <v>19</v>
      </c>
      <c r="DG7" s="5">
        <v>2.0000001E7</v>
      </c>
      <c r="DH7" s="5">
        <v>9.99999999E8</v>
      </c>
      <c r="DI7" s="14"/>
      <c r="DJ7" s="15">
        <v>0.05</v>
      </c>
      <c r="DK7" s="8"/>
      <c r="DL7" s="8"/>
      <c r="DM7" s="8"/>
      <c r="DN7" s="8"/>
      <c r="DO7" s="8"/>
      <c r="DP7" s="8"/>
      <c r="DQ7" s="8"/>
      <c r="DT7" s="9"/>
      <c r="DU7" s="9"/>
      <c r="DV7" s="12"/>
      <c r="DW7" s="11" t="s">
        <v>19</v>
      </c>
      <c r="DX7" s="5">
        <v>2.0000001E7</v>
      </c>
      <c r="DY7" s="5">
        <v>9.99999999E8</v>
      </c>
      <c r="DZ7" s="14"/>
      <c r="EA7" s="15">
        <v>0.05</v>
      </c>
      <c r="EB7" s="8"/>
      <c r="EC7" s="8"/>
      <c r="ED7" s="10"/>
      <c r="EE7" s="10"/>
      <c r="EF7" s="10"/>
      <c r="EG7" s="10"/>
      <c r="EH7" s="10"/>
      <c r="EI7" s="10"/>
      <c r="EJ7" s="10"/>
      <c r="EK7" s="10"/>
      <c r="EL7" s="10"/>
      <c r="EM7" s="12"/>
      <c r="EN7" s="11" t="s">
        <v>19</v>
      </c>
      <c r="EO7" s="5">
        <v>2.0000001E7</v>
      </c>
      <c r="EP7" s="5">
        <v>9.99999999E8</v>
      </c>
      <c r="EQ7" s="14"/>
      <c r="ER7" s="15">
        <v>0.05</v>
      </c>
      <c r="ES7" s="8"/>
      <c r="ET7" s="8"/>
      <c r="EU7" s="10"/>
      <c r="EV7" s="10"/>
      <c r="EW7" s="10"/>
      <c r="EX7" s="10"/>
      <c r="EY7" s="10"/>
      <c r="EZ7" s="10"/>
      <c r="FA7" s="10"/>
      <c r="FB7" s="10"/>
      <c r="FC7" s="10"/>
      <c r="FD7" s="12"/>
      <c r="FE7" s="11" t="s">
        <v>19</v>
      </c>
      <c r="FF7" s="5">
        <v>2.0000001E7</v>
      </c>
      <c r="FG7" s="5">
        <v>9.99999999E8</v>
      </c>
      <c r="FH7" s="14"/>
      <c r="FI7" s="15">
        <v>0.05</v>
      </c>
      <c r="FJ7" s="8"/>
      <c r="FK7" s="8"/>
      <c r="FL7" s="10"/>
      <c r="FM7" s="10"/>
      <c r="FN7" s="10"/>
      <c r="FO7" s="10"/>
      <c r="FP7" s="10"/>
      <c r="FQ7" s="10"/>
      <c r="FR7" s="10"/>
      <c r="FS7" s="10"/>
      <c r="FT7" s="10"/>
      <c r="FU7" s="12"/>
      <c r="FV7" s="10"/>
      <c r="FW7" s="10"/>
      <c r="FX7" s="10"/>
      <c r="FY7" s="10"/>
      <c r="FZ7" s="10"/>
      <c r="GA7" s="10"/>
    </row>
    <row r="8">
      <c r="A8" s="16"/>
      <c r="B8" s="13"/>
      <c r="C8" s="13"/>
      <c r="D8" s="13"/>
      <c r="E8" s="13"/>
      <c r="F8" s="13"/>
      <c r="G8" s="8"/>
      <c r="H8" s="8"/>
      <c r="J8" s="1"/>
      <c r="M8" s="17"/>
      <c r="N8" s="13"/>
      <c r="O8" s="13"/>
      <c r="P8" s="13"/>
      <c r="Q8" s="13"/>
      <c r="R8" s="13"/>
      <c r="S8" s="8"/>
      <c r="T8" s="8"/>
      <c r="V8" s="1"/>
      <c r="Y8" s="17"/>
      <c r="Z8" s="13"/>
      <c r="AA8" s="13"/>
      <c r="AB8" s="13"/>
      <c r="AC8" s="13"/>
      <c r="AD8" s="13"/>
      <c r="AE8" s="13"/>
      <c r="AF8" s="8"/>
      <c r="AG8" s="8"/>
      <c r="AH8" s="8"/>
      <c r="AI8" s="8"/>
      <c r="AJ8" s="8"/>
      <c r="AM8" s="1"/>
      <c r="AO8" s="4"/>
      <c r="AP8" s="16"/>
      <c r="AQ8" s="13"/>
      <c r="AR8" s="13"/>
      <c r="AS8" s="13"/>
      <c r="AT8" s="13"/>
      <c r="AU8" s="13"/>
      <c r="AV8" s="13"/>
      <c r="AW8" s="8"/>
      <c r="AX8" s="8"/>
      <c r="AY8" s="8"/>
      <c r="AZ8" s="8"/>
      <c r="BA8" s="8"/>
      <c r="BD8" s="1"/>
      <c r="BF8" s="4"/>
      <c r="BG8" s="17"/>
      <c r="BH8" s="13"/>
      <c r="BI8" s="13"/>
      <c r="BJ8" s="13"/>
      <c r="BK8" s="13"/>
      <c r="BL8" s="13"/>
      <c r="BM8" s="13"/>
      <c r="BN8" s="8"/>
      <c r="BO8" s="8"/>
      <c r="BP8" s="8"/>
      <c r="BQ8" s="8"/>
      <c r="BR8" s="8"/>
      <c r="BU8" s="1"/>
      <c r="BW8" s="4"/>
      <c r="BX8" s="17"/>
      <c r="BY8" s="13"/>
      <c r="BZ8" s="13"/>
      <c r="CA8" s="13"/>
      <c r="CB8" s="13"/>
      <c r="CC8" s="13"/>
      <c r="CD8" s="13"/>
      <c r="CE8" s="8"/>
      <c r="CF8" s="8"/>
      <c r="CG8" s="8"/>
      <c r="CH8" s="8"/>
      <c r="CI8" s="8"/>
      <c r="CL8" s="1"/>
      <c r="CN8" s="4"/>
      <c r="CO8" s="17"/>
      <c r="CP8" s="13"/>
      <c r="CQ8" s="13"/>
      <c r="CR8" s="13"/>
      <c r="CS8" s="13"/>
      <c r="CT8" s="13"/>
      <c r="CU8" s="13"/>
      <c r="CV8" s="8"/>
      <c r="CW8" s="8"/>
      <c r="CX8" s="8"/>
      <c r="CY8" s="8"/>
      <c r="CZ8" s="8"/>
      <c r="DC8" s="1"/>
      <c r="DE8" s="4"/>
      <c r="DF8" s="17"/>
      <c r="DG8" s="13"/>
      <c r="DH8" s="13"/>
      <c r="DI8" s="13"/>
      <c r="DJ8" s="13"/>
      <c r="DK8" s="13"/>
      <c r="DL8" s="13"/>
      <c r="DM8" s="8"/>
      <c r="DN8" s="8"/>
      <c r="DO8" s="8"/>
      <c r="DP8" s="8"/>
      <c r="DQ8" s="8"/>
      <c r="DT8" s="1"/>
      <c r="DV8" s="4"/>
      <c r="DW8" s="17"/>
      <c r="DX8" s="13"/>
      <c r="DY8" s="13"/>
      <c r="DZ8" s="13"/>
      <c r="EA8" s="13"/>
      <c r="EB8" s="13"/>
      <c r="EC8" s="13"/>
      <c r="EM8" s="4"/>
      <c r="EN8" s="17"/>
      <c r="EO8" s="13"/>
      <c r="EP8" s="13"/>
      <c r="EQ8" s="13"/>
      <c r="ER8" s="13"/>
      <c r="ES8" s="13"/>
      <c r="ET8" s="13"/>
      <c r="FD8" s="4"/>
      <c r="FE8" s="17"/>
      <c r="FF8" s="13"/>
      <c r="FG8" s="13"/>
      <c r="FH8" s="13"/>
      <c r="FI8" s="13"/>
      <c r="FJ8" s="13"/>
      <c r="FK8" s="13"/>
      <c r="FU8" s="4"/>
    </row>
    <row r="9">
      <c r="A9" s="1" t="s">
        <v>20</v>
      </c>
      <c r="J9" s="2"/>
      <c r="M9" s="3" t="s">
        <v>20</v>
      </c>
      <c r="V9" s="2"/>
      <c r="Y9" s="3" t="s">
        <v>20</v>
      </c>
      <c r="AM9" s="2"/>
      <c r="AO9" s="4"/>
      <c r="AP9" s="1" t="s">
        <v>20</v>
      </c>
      <c r="BD9" s="2"/>
      <c r="BF9" s="4"/>
      <c r="BG9" s="3" t="s">
        <v>20</v>
      </c>
      <c r="BU9" s="2"/>
      <c r="BW9" s="4"/>
      <c r="BX9" s="3" t="s">
        <v>20</v>
      </c>
      <c r="CL9" s="2"/>
      <c r="CN9" s="4"/>
      <c r="CO9" s="3" t="s">
        <v>20</v>
      </c>
      <c r="DC9" s="2"/>
      <c r="DE9" s="4"/>
      <c r="DF9" s="3" t="s">
        <v>20</v>
      </c>
      <c r="DT9" s="2"/>
      <c r="DV9" s="4"/>
      <c r="DW9" s="3" t="s">
        <v>20</v>
      </c>
      <c r="EM9" s="4"/>
      <c r="EN9" s="3" t="s">
        <v>20</v>
      </c>
      <c r="FD9" s="4"/>
      <c r="FE9" s="3" t="s">
        <v>20</v>
      </c>
      <c r="FU9" s="4"/>
    </row>
    <row r="10">
      <c r="A10" s="2" t="s">
        <v>21</v>
      </c>
      <c r="B10" s="2" t="s">
        <v>22</v>
      </c>
      <c r="C10" s="2" t="s">
        <v>23</v>
      </c>
      <c r="D10" s="2" t="s">
        <v>24</v>
      </c>
      <c r="J10" s="2"/>
      <c r="K10" s="9"/>
      <c r="L10" s="9"/>
      <c r="M10" s="18" t="s">
        <v>21</v>
      </c>
      <c r="N10" s="2" t="s">
        <v>22</v>
      </c>
      <c r="O10" s="2" t="s">
        <v>23</v>
      </c>
      <c r="P10" s="2" t="s">
        <v>24</v>
      </c>
      <c r="V10" s="2"/>
      <c r="W10" s="9"/>
      <c r="X10" s="9"/>
      <c r="Y10" s="18" t="s">
        <v>21</v>
      </c>
      <c r="Z10" s="2" t="s">
        <v>22</v>
      </c>
      <c r="AA10" s="2" t="s">
        <v>23</v>
      </c>
      <c r="AB10" s="2" t="s">
        <v>24</v>
      </c>
      <c r="AM10" s="2"/>
      <c r="AN10" s="9"/>
      <c r="AO10" s="19"/>
      <c r="AP10" s="2" t="s">
        <v>21</v>
      </c>
      <c r="AQ10" s="2" t="s">
        <v>22</v>
      </c>
      <c r="AR10" s="2" t="s">
        <v>23</v>
      </c>
      <c r="AS10" s="2" t="s">
        <v>24</v>
      </c>
      <c r="BD10" s="2"/>
      <c r="BE10" s="9"/>
      <c r="BF10" s="19"/>
      <c r="BG10" s="18" t="s">
        <v>21</v>
      </c>
      <c r="BH10" s="2" t="s">
        <v>22</v>
      </c>
      <c r="BI10" s="2" t="s">
        <v>23</v>
      </c>
      <c r="BJ10" s="2" t="s">
        <v>24</v>
      </c>
      <c r="BU10" s="2"/>
      <c r="BV10" s="9"/>
      <c r="BW10" s="19"/>
      <c r="BX10" s="18" t="s">
        <v>21</v>
      </c>
      <c r="BY10" s="2" t="s">
        <v>22</v>
      </c>
      <c r="BZ10" s="2" t="s">
        <v>23</v>
      </c>
      <c r="CA10" s="2" t="s">
        <v>24</v>
      </c>
      <c r="CL10" s="2"/>
      <c r="CM10" s="9"/>
      <c r="CN10" s="19"/>
      <c r="CO10" s="18" t="s">
        <v>21</v>
      </c>
      <c r="CP10" s="2" t="s">
        <v>22</v>
      </c>
      <c r="CQ10" s="2" t="s">
        <v>23</v>
      </c>
      <c r="CR10" s="2" t="s">
        <v>24</v>
      </c>
      <c r="DC10" s="2"/>
      <c r="DD10" s="9"/>
      <c r="DE10" s="19"/>
      <c r="DF10" s="18" t="s">
        <v>21</v>
      </c>
      <c r="DG10" s="2" t="s">
        <v>22</v>
      </c>
      <c r="DH10" s="2" t="s">
        <v>23</v>
      </c>
      <c r="DI10" s="2" t="s">
        <v>24</v>
      </c>
      <c r="DT10" s="2"/>
      <c r="DU10" s="9"/>
      <c r="DV10" s="19"/>
      <c r="DW10" s="18" t="s">
        <v>21</v>
      </c>
      <c r="DX10" s="2" t="s">
        <v>25</v>
      </c>
      <c r="DY10" s="2" t="s">
        <v>26</v>
      </c>
      <c r="DZ10" s="2" t="s">
        <v>22</v>
      </c>
      <c r="EA10" s="2" t="s">
        <v>23</v>
      </c>
      <c r="EB10" s="2" t="s">
        <v>24</v>
      </c>
      <c r="ED10" s="9"/>
      <c r="EE10" s="9"/>
      <c r="EF10" s="9"/>
      <c r="EG10" s="9"/>
      <c r="EH10" s="9"/>
      <c r="EI10" s="9"/>
      <c r="EJ10" s="9"/>
      <c r="EK10" s="9"/>
      <c r="EL10" s="9"/>
      <c r="EM10" s="19"/>
      <c r="EN10" s="18" t="s">
        <v>21</v>
      </c>
      <c r="EO10" s="2" t="s">
        <v>25</v>
      </c>
      <c r="EP10" s="2" t="s">
        <v>26</v>
      </c>
      <c r="EQ10" s="2" t="s">
        <v>22</v>
      </c>
      <c r="ER10" s="2" t="s">
        <v>23</v>
      </c>
      <c r="ES10" s="2" t="s">
        <v>24</v>
      </c>
      <c r="EU10" s="9"/>
      <c r="EV10" s="9"/>
      <c r="EW10" s="9"/>
      <c r="EX10" s="9"/>
      <c r="EY10" s="9"/>
      <c r="EZ10" s="9"/>
      <c r="FA10" s="9"/>
      <c r="FB10" s="9"/>
      <c r="FC10" s="9"/>
      <c r="FD10" s="19"/>
      <c r="FE10" s="18" t="s">
        <v>21</v>
      </c>
      <c r="FF10" s="2" t="s">
        <v>25</v>
      </c>
      <c r="FG10" s="2" t="s">
        <v>26</v>
      </c>
      <c r="FH10" s="2" t="s">
        <v>22</v>
      </c>
      <c r="FI10" s="2" t="s">
        <v>23</v>
      </c>
      <c r="FJ10" s="2" t="s">
        <v>24</v>
      </c>
      <c r="FL10" s="9"/>
      <c r="FM10" s="9"/>
      <c r="FN10" s="9"/>
      <c r="FO10" s="9"/>
      <c r="FP10" s="9"/>
      <c r="FQ10" s="9"/>
      <c r="FR10" s="9"/>
      <c r="FS10" s="9"/>
      <c r="FT10" s="9"/>
      <c r="FU10" s="19"/>
      <c r="FV10" s="9"/>
      <c r="FW10" s="9"/>
      <c r="FX10" s="9"/>
      <c r="FY10" s="9"/>
      <c r="FZ10" s="9"/>
      <c r="GA10" s="9"/>
    </row>
    <row r="11">
      <c r="A11" s="2" t="s">
        <v>27</v>
      </c>
      <c r="B11" s="9">
        <v>200000.0</v>
      </c>
      <c r="C11" s="9">
        <v>220000.0</v>
      </c>
      <c r="D11" s="9">
        <v>180000.0</v>
      </c>
      <c r="J11" s="2"/>
      <c r="K11" s="9"/>
      <c r="L11" s="9"/>
      <c r="M11" s="18" t="s">
        <v>27</v>
      </c>
      <c r="N11" s="9">
        <v>200000.0</v>
      </c>
      <c r="O11" s="9">
        <v>220000.0</v>
      </c>
      <c r="P11" s="9">
        <v>180000.0</v>
      </c>
      <c r="V11" s="2"/>
      <c r="W11" s="9"/>
      <c r="X11" s="9"/>
      <c r="Y11" s="18" t="s">
        <v>27</v>
      </c>
      <c r="Z11" s="9">
        <v>200000.0</v>
      </c>
      <c r="AA11" s="9">
        <v>220000.0</v>
      </c>
      <c r="AB11" s="9">
        <v>180000.0</v>
      </c>
      <c r="AM11" s="2"/>
      <c r="AN11" s="9"/>
      <c r="AO11" s="19"/>
      <c r="AP11" s="2" t="s">
        <v>27</v>
      </c>
      <c r="AQ11" s="9">
        <v>200000.0</v>
      </c>
      <c r="AR11" s="9">
        <v>220000.0</v>
      </c>
      <c r="AS11" s="9">
        <v>180000.0</v>
      </c>
      <c r="BD11" s="2"/>
      <c r="BE11" s="9"/>
      <c r="BF11" s="19"/>
      <c r="BG11" s="18" t="s">
        <v>27</v>
      </c>
      <c r="BH11" s="9">
        <v>200000.0</v>
      </c>
      <c r="BI11" s="9">
        <v>220000.0</v>
      </c>
      <c r="BJ11" s="9">
        <v>180000.0</v>
      </c>
      <c r="BU11" s="2"/>
      <c r="BV11" s="9"/>
      <c r="BW11" s="19"/>
      <c r="BX11" s="18" t="s">
        <v>27</v>
      </c>
      <c r="BY11" s="9">
        <v>200000.0</v>
      </c>
      <c r="BZ11" s="9">
        <v>220000.0</v>
      </c>
      <c r="CA11" s="9">
        <v>180000.0</v>
      </c>
      <c r="CL11" s="2"/>
      <c r="CM11" s="9"/>
      <c r="CN11" s="19"/>
      <c r="CO11" s="18" t="s">
        <v>27</v>
      </c>
      <c r="CP11" s="9">
        <v>200000.0</v>
      </c>
      <c r="CQ11" s="9">
        <v>220000.0</v>
      </c>
      <c r="CR11" s="9">
        <v>180000.0</v>
      </c>
      <c r="DC11" s="2"/>
      <c r="DD11" s="9"/>
      <c r="DE11" s="19"/>
      <c r="DF11" s="18" t="s">
        <v>27</v>
      </c>
      <c r="DG11" s="9">
        <v>200000.0</v>
      </c>
      <c r="DH11" s="9">
        <v>220000.0</v>
      </c>
      <c r="DI11" s="9">
        <v>180000.0</v>
      </c>
      <c r="DT11" s="2"/>
      <c r="DU11" s="9"/>
      <c r="DV11" s="19"/>
      <c r="DW11" s="18" t="s">
        <v>27</v>
      </c>
      <c r="DX11" s="2" t="s">
        <v>28</v>
      </c>
      <c r="DY11" s="2">
        <v>5.0</v>
      </c>
      <c r="DZ11" s="9">
        <v>200000.0</v>
      </c>
      <c r="EA11" s="9">
        <v>220000.0</v>
      </c>
      <c r="EB11" s="9">
        <v>180000.0</v>
      </c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19"/>
      <c r="EN11" s="18" t="s">
        <v>27</v>
      </c>
      <c r="EO11" s="2" t="s">
        <v>28</v>
      </c>
      <c r="EP11" s="2">
        <v>5.0</v>
      </c>
      <c r="EQ11" s="9">
        <v>200000.0</v>
      </c>
      <c r="ER11" s="9">
        <v>220000.0</v>
      </c>
      <c r="ES11" s="9">
        <v>180000.0</v>
      </c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19"/>
      <c r="FE11" s="18" t="s">
        <v>27</v>
      </c>
      <c r="FF11" s="2" t="s">
        <v>28</v>
      </c>
      <c r="FG11" s="2">
        <v>20.0</v>
      </c>
      <c r="FH11" s="9">
        <v>200000.0</v>
      </c>
      <c r="FI11" s="9">
        <v>220000.0</v>
      </c>
      <c r="FJ11" s="9">
        <v>180000.0</v>
      </c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19"/>
      <c r="FV11" s="9"/>
      <c r="FW11" s="9"/>
      <c r="FX11" s="9"/>
      <c r="FY11" s="9"/>
      <c r="FZ11" s="9"/>
      <c r="GA11" s="9"/>
    </row>
    <row r="12">
      <c r="A12" s="2" t="s">
        <v>29</v>
      </c>
      <c r="B12" s="9">
        <v>250000.0</v>
      </c>
      <c r="C12" s="9">
        <v>300000.0</v>
      </c>
      <c r="D12" s="9">
        <v>180000.0</v>
      </c>
      <c r="J12" s="2"/>
      <c r="K12" s="9"/>
      <c r="L12" s="9"/>
      <c r="M12" s="18" t="s">
        <v>29</v>
      </c>
      <c r="N12" s="9">
        <v>250000.0</v>
      </c>
      <c r="O12" s="9">
        <v>300000.0</v>
      </c>
      <c r="P12" s="9">
        <v>180000.0</v>
      </c>
      <c r="V12" s="2"/>
      <c r="W12" s="9"/>
      <c r="X12" s="9"/>
      <c r="Y12" s="18" t="s">
        <v>29</v>
      </c>
      <c r="Z12" s="9">
        <v>250000.0</v>
      </c>
      <c r="AA12" s="9">
        <v>300000.0</v>
      </c>
      <c r="AB12" s="9">
        <v>180000.0</v>
      </c>
      <c r="AM12" s="2"/>
      <c r="AN12" s="9"/>
      <c r="AO12" s="19"/>
      <c r="AP12" s="2" t="s">
        <v>29</v>
      </c>
      <c r="AQ12" s="9">
        <v>250000.0</v>
      </c>
      <c r="AR12" s="9">
        <v>300000.0</v>
      </c>
      <c r="AS12" s="9">
        <v>180000.0</v>
      </c>
      <c r="BD12" s="2"/>
      <c r="BE12" s="9"/>
      <c r="BF12" s="19"/>
      <c r="BG12" s="18" t="s">
        <v>29</v>
      </c>
      <c r="BH12" s="9">
        <v>250000.0</v>
      </c>
      <c r="BI12" s="9">
        <v>300000.0</v>
      </c>
      <c r="BJ12" s="9">
        <v>180000.0</v>
      </c>
      <c r="BU12" s="2"/>
      <c r="BV12" s="9"/>
      <c r="BW12" s="19"/>
      <c r="BX12" s="18" t="s">
        <v>29</v>
      </c>
      <c r="BY12" s="9">
        <v>250000.0</v>
      </c>
      <c r="BZ12" s="9">
        <v>300000.0</v>
      </c>
      <c r="CA12" s="9">
        <v>180000.0</v>
      </c>
      <c r="CL12" s="2"/>
      <c r="CM12" s="9"/>
      <c r="CN12" s="19"/>
      <c r="CO12" s="18" t="s">
        <v>29</v>
      </c>
      <c r="CP12" s="9">
        <v>250000.0</v>
      </c>
      <c r="CQ12" s="9">
        <v>300000.0</v>
      </c>
      <c r="CR12" s="9">
        <v>180000.0</v>
      </c>
      <c r="DC12" s="2"/>
      <c r="DD12" s="9"/>
      <c r="DE12" s="19"/>
      <c r="DF12" s="18" t="s">
        <v>29</v>
      </c>
      <c r="DG12" s="9">
        <v>250000.0</v>
      </c>
      <c r="DH12" s="9">
        <v>300000.0</v>
      </c>
      <c r="DI12" s="9">
        <v>180000.0</v>
      </c>
      <c r="DT12" s="2"/>
      <c r="DU12" s="9"/>
      <c r="DV12" s="19"/>
      <c r="DW12" s="18" t="s">
        <v>29</v>
      </c>
      <c r="DX12" s="2" t="s">
        <v>30</v>
      </c>
      <c r="DY12" s="2">
        <v>1.0</v>
      </c>
      <c r="DZ12" s="9">
        <v>250000.0</v>
      </c>
      <c r="EA12" s="9">
        <v>300000.0</v>
      </c>
      <c r="EB12" s="9">
        <v>180000.0</v>
      </c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19"/>
      <c r="EN12" s="18" t="s">
        <v>29</v>
      </c>
      <c r="EO12" s="2" t="s">
        <v>30</v>
      </c>
      <c r="EP12" s="2">
        <v>1.0</v>
      </c>
      <c r="EQ12" s="9">
        <v>250000.0</v>
      </c>
      <c r="ER12" s="9">
        <v>300000.0</v>
      </c>
      <c r="ES12" s="9">
        <v>180000.0</v>
      </c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19"/>
      <c r="FE12" s="18" t="s">
        <v>29</v>
      </c>
      <c r="FF12" s="2" t="s">
        <v>30</v>
      </c>
      <c r="FG12" s="2">
        <v>10.0</v>
      </c>
      <c r="FH12" s="9">
        <v>250000.0</v>
      </c>
      <c r="FI12" s="9">
        <v>300000.0</v>
      </c>
      <c r="FJ12" s="9">
        <v>180000.0</v>
      </c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19"/>
      <c r="FV12" s="9"/>
      <c r="FW12" s="9"/>
      <c r="FX12" s="9"/>
      <c r="FY12" s="9"/>
      <c r="FZ12" s="9"/>
      <c r="GA12" s="9"/>
    </row>
    <row r="13">
      <c r="A13" s="2" t="s">
        <v>31</v>
      </c>
      <c r="B13" s="9">
        <v>200000.0</v>
      </c>
      <c r="C13" s="9">
        <v>220000.0</v>
      </c>
      <c r="D13" s="9">
        <v>180000.0</v>
      </c>
      <c r="J13" s="1"/>
      <c r="K13" s="9"/>
      <c r="L13" s="9"/>
      <c r="M13" s="18" t="s">
        <v>31</v>
      </c>
      <c r="N13" s="9">
        <v>200000.0</v>
      </c>
      <c r="O13" s="9">
        <v>220000.0</v>
      </c>
      <c r="P13" s="9">
        <v>180000.0</v>
      </c>
      <c r="V13" s="1"/>
      <c r="W13" s="9"/>
      <c r="X13" s="9"/>
      <c r="Y13" s="18" t="s">
        <v>31</v>
      </c>
      <c r="Z13" s="9">
        <v>200000.0</v>
      </c>
      <c r="AA13" s="9">
        <v>220000.0</v>
      </c>
      <c r="AB13" s="9">
        <v>180000.0</v>
      </c>
      <c r="AM13" s="1"/>
      <c r="AN13" s="9"/>
      <c r="AO13" s="19"/>
      <c r="AP13" s="2" t="s">
        <v>31</v>
      </c>
      <c r="AQ13" s="9">
        <v>200000.0</v>
      </c>
      <c r="AR13" s="9">
        <v>220000.0</v>
      </c>
      <c r="AS13" s="9">
        <v>180000.0</v>
      </c>
      <c r="BD13" s="1"/>
      <c r="BE13" s="9"/>
      <c r="BF13" s="19"/>
      <c r="BG13" s="18" t="s">
        <v>31</v>
      </c>
      <c r="BH13" s="9">
        <v>200000.0</v>
      </c>
      <c r="BI13" s="9">
        <v>220000.0</v>
      </c>
      <c r="BJ13" s="9">
        <v>180000.0</v>
      </c>
      <c r="BU13" s="1"/>
      <c r="BV13" s="9"/>
      <c r="BW13" s="19"/>
      <c r="BX13" s="18" t="s">
        <v>31</v>
      </c>
      <c r="BY13" s="9">
        <v>200000.0</v>
      </c>
      <c r="BZ13" s="9">
        <v>220000.0</v>
      </c>
      <c r="CA13" s="9">
        <v>180000.0</v>
      </c>
      <c r="CL13" s="1"/>
      <c r="CM13" s="9"/>
      <c r="CN13" s="19"/>
      <c r="CO13" s="18" t="s">
        <v>31</v>
      </c>
      <c r="CP13" s="9">
        <v>200000.0</v>
      </c>
      <c r="CQ13" s="9">
        <v>220000.0</v>
      </c>
      <c r="CR13" s="9">
        <v>180000.0</v>
      </c>
      <c r="DC13" s="1"/>
      <c r="DD13" s="9"/>
      <c r="DE13" s="19"/>
      <c r="DF13" s="18" t="s">
        <v>31</v>
      </c>
      <c r="DG13" s="9">
        <v>200000.0</v>
      </c>
      <c r="DH13" s="9">
        <v>220000.0</v>
      </c>
      <c r="DI13" s="9">
        <v>180000.0</v>
      </c>
      <c r="DT13" s="1"/>
      <c r="DU13" s="9"/>
      <c r="DV13" s="19"/>
      <c r="DW13" s="18" t="s">
        <v>31</v>
      </c>
      <c r="DX13" s="2" t="s">
        <v>30</v>
      </c>
      <c r="DY13" s="2">
        <v>1.0</v>
      </c>
      <c r="DZ13" s="9">
        <v>200000.0</v>
      </c>
      <c r="EA13" s="9">
        <v>220000.0</v>
      </c>
      <c r="EB13" s="9">
        <v>180000.0</v>
      </c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19"/>
      <c r="EN13" s="18" t="s">
        <v>31</v>
      </c>
      <c r="EO13" s="2" t="s">
        <v>30</v>
      </c>
      <c r="EP13" s="2">
        <v>1.0</v>
      </c>
      <c r="EQ13" s="9">
        <v>200000.0</v>
      </c>
      <c r="ER13" s="9">
        <v>220000.0</v>
      </c>
      <c r="ES13" s="9">
        <v>180000.0</v>
      </c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19"/>
      <c r="FE13" s="18" t="s">
        <v>31</v>
      </c>
      <c r="FF13" s="2" t="s">
        <v>30</v>
      </c>
      <c r="FG13" s="2">
        <v>10.0</v>
      </c>
      <c r="FH13" s="9">
        <v>200000.0</v>
      </c>
      <c r="FI13" s="9">
        <v>220000.0</v>
      </c>
      <c r="FJ13" s="9">
        <v>180000.0</v>
      </c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19"/>
      <c r="FV13" s="9"/>
      <c r="FW13" s="9"/>
      <c r="FX13" s="9"/>
      <c r="FY13" s="9"/>
      <c r="FZ13" s="9"/>
      <c r="GA13" s="9"/>
    </row>
    <row r="14">
      <c r="B14" s="9"/>
      <c r="C14" s="9"/>
      <c r="D14" s="9"/>
      <c r="J14" s="2"/>
      <c r="K14" s="9"/>
      <c r="L14" s="9"/>
      <c r="M14" s="20"/>
      <c r="N14" s="9"/>
      <c r="O14" s="9"/>
      <c r="P14" s="9"/>
      <c r="V14" s="2"/>
      <c r="W14" s="9"/>
      <c r="X14" s="9"/>
      <c r="Y14" s="3" t="s">
        <v>32</v>
      </c>
      <c r="Z14" s="9"/>
      <c r="AA14" s="9"/>
      <c r="AB14" s="9"/>
      <c r="AM14" s="2"/>
      <c r="AN14" s="9"/>
      <c r="AO14" s="19"/>
      <c r="AP14" s="1" t="s">
        <v>32</v>
      </c>
      <c r="AQ14" s="9"/>
      <c r="AR14" s="9"/>
      <c r="AS14" s="9"/>
      <c r="BD14" s="2"/>
      <c r="BE14" s="9"/>
      <c r="BF14" s="19"/>
      <c r="BG14" s="3" t="s">
        <v>33</v>
      </c>
      <c r="BH14" s="9"/>
      <c r="BI14" s="9"/>
      <c r="BJ14" s="9"/>
      <c r="BU14" s="2"/>
      <c r="BV14" s="9"/>
      <c r="BW14" s="19"/>
      <c r="BX14" s="3" t="s">
        <v>33</v>
      </c>
      <c r="BY14" s="9"/>
      <c r="BZ14" s="9"/>
      <c r="CA14" s="9"/>
      <c r="CL14" s="2"/>
      <c r="CM14" s="9"/>
      <c r="CN14" s="19"/>
      <c r="CO14" s="3" t="s">
        <v>34</v>
      </c>
      <c r="CP14" s="9"/>
      <c r="CQ14" s="21" t="s">
        <v>35</v>
      </c>
      <c r="CR14" s="9"/>
      <c r="CT14" s="21" t="s">
        <v>36</v>
      </c>
      <c r="DC14" s="2"/>
      <c r="DD14" s="9"/>
      <c r="DE14" s="19"/>
      <c r="DF14" s="3" t="s">
        <v>34</v>
      </c>
      <c r="DG14" s="9"/>
      <c r="DH14" s="21" t="s">
        <v>35</v>
      </c>
      <c r="DI14" s="9"/>
      <c r="DK14" s="21" t="s">
        <v>36</v>
      </c>
      <c r="DT14" s="2"/>
      <c r="DU14" s="9"/>
      <c r="DV14" s="19"/>
      <c r="DW14" s="1" t="s">
        <v>37</v>
      </c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19"/>
      <c r="EN14" s="1" t="s">
        <v>37</v>
      </c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19"/>
      <c r="FE14" s="1" t="s">
        <v>37</v>
      </c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19"/>
      <c r="FV14" s="9"/>
      <c r="FW14" s="9"/>
      <c r="FX14" s="9"/>
      <c r="FY14" s="9"/>
      <c r="FZ14" s="9"/>
      <c r="GA14" s="9"/>
    </row>
    <row r="15">
      <c r="A15" s="1"/>
      <c r="J15" s="1"/>
      <c r="M15" s="3"/>
      <c r="V15" s="1"/>
      <c r="Y15" s="22">
        <v>2000000.0</v>
      </c>
      <c r="AM15" s="1"/>
      <c r="AO15" s="4"/>
      <c r="AP15" s="9">
        <v>1500000.0</v>
      </c>
      <c r="BD15" s="1"/>
      <c r="BF15" s="4"/>
      <c r="BG15" s="22">
        <v>4500000.0</v>
      </c>
      <c r="BU15" s="1"/>
      <c r="BW15" s="4"/>
      <c r="BX15" s="22">
        <v>150000.0</v>
      </c>
      <c r="CL15" s="1"/>
      <c r="CN15" s="4"/>
      <c r="CO15" s="18">
        <v>2.0</v>
      </c>
      <c r="CP15" s="9"/>
      <c r="CQ15" s="9">
        <v>2.0</v>
      </c>
      <c r="CR15" s="9"/>
      <c r="CT15" s="2">
        <v>1.0</v>
      </c>
      <c r="DC15" s="1"/>
      <c r="DE15" s="4"/>
      <c r="DF15" s="18">
        <v>2.0</v>
      </c>
      <c r="DG15" s="9"/>
      <c r="DH15" s="9">
        <v>2.0</v>
      </c>
      <c r="DI15" s="9"/>
      <c r="DK15" s="2">
        <v>0.0</v>
      </c>
      <c r="DT15" s="1"/>
      <c r="DV15" s="4"/>
      <c r="DW15" s="2">
        <v>2.0</v>
      </c>
      <c r="EM15" s="4"/>
      <c r="EN15" s="2">
        <v>2.0</v>
      </c>
      <c r="FD15" s="4"/>
      <c r="FE15" s="2">
        <v>2.0</v>
      </c>
      <c r="FU15" s="4"/>
    </row>
    <row r="16">
      <c r="A16" s="23" t="s">
        <v>38</v>
      </c>
      <c r="B16" s="23" t="s">
        <v>39</v>
      </c>
      <c r="C16" s="23" t="s">
        <v>40</v>
      </c>
      <c r="D16" s="23" t="s">
        <v>41</v>
      </c>
      <c r="E16" s="23" t="s">
        <v>42</v>
      </c>
      <c r="F16" s="23" t="s">
        <v>43</v>
      </c>
      <c r="G16" s="23" t="s">
        <v>44</v>
      </c>
      <c r="H16" s="23" t="s">
        <v>45</v>
      </c>
      <c r="I16" s="23" t="s">
        <v>46</v>
      </c>
      <c r="J16" s="23" t="s">
        <v>47</v>
      </c>
      <c r="M16" s="20" t="s">
        <v>38</v>
      </c>
      <c r="N16" s="23" t="s">
        <v>39</v>
      </c>
      <c r="O16" s="23" t="s">
        <v>40</v>
      </c>
      <c r="P16" s="23" t="s">
        <v>41</v>
      </c>
      <c r="Q16" s="23" t="s">
        <v>42</v>
      </c>
      <c r="R16" s="23" t="s">
        <v>43</v>
      </c>
      <c r="S16" s="23" t="s">
        <v>44</v>
      </c>
      <c r="T16" s="23" t="s">
        <v>45</v>
      </c>
      <c r="U16" s="23" t="s">
        <v>46</v>
      </c>
      <c r="V16" s="23" t="s">
        <v>47</v>
      </c>
      <c r="Y16" s="20" t="s">
        <v>38</v>
      </c>
      <c r="Z16" s="23" t="s">
        <v>39</v>
      </c>
      <c r="AA16" s="23" t="s">
        <v>40</v>
      </c>
      <c r="AB16" s="23" t="s">
        <v>41</v>
      </c>
      <c r="AC16" s="2" t="s">
        <v>48</v>
      </c>
      <c r="AD16" s="2" t="s">
        <v>42</v>
      </c>
      <c r="AE16" s="2" t="s">
        <v>49</v>
      </c>
      <c r="AF16" s="2" t="s">
        <v>43</v>
      </c>
      <c r="AG16" s="2" t="s">
        <v>50</v>
      </c>
      <c r="AH16" s="2" t="s">
        <v>44</v>
      </c>
      <c r="AI16" s="2" t="s">
        <v>51</v>
      </c>
      <c r="AJ16" s="2" t="s">
        <v>45</v>
      </c>
      <c r="AK16" s="2" t="s">
        <v>52</v>
      </c>
      <c r="AL16" s="2" t="s">
        <v>46</v>
      </c>
      <c r="AM16" s="23" t="s">
        <v>47</v>
      </c>
      <c r="AO16" s="4"/>
      <c r="AP16" s="23" t="s">
        <v>38</v>
      </c>
      <c r="AQ16" s="23" t="s">
        <v>39</v>
      </c>
      <c r="AR16" s="23" t="s">
        <v>40</v>
      </c>
      <c r="AS16" s="23" t="s">
        <v>41</v>
      </c>
      <c r="AT16" s="2" t="s">
        <v>48</v>
      </c>
      <c r="AU16" s="2" t="s">
        <v>42</v>
      </c>
      <c r="AV16" s="2" t="s">
        <v>49</v>
      </c>
      <c r="AW16" s="2" t="s">
        <v>43</v>
      </c>
      <c r="AX16" s="2" t="s">
        <v>50</v>
      </c>
      <c r="AY16" s="2" t="s">
        <v>44</v>
      </c>
      <c r="AZ16" s="2" t="s">
        <v>51</v>
      </c>
      <c r="BA16" s="2" t="s">
        <v>45</v>
      </c>
      <c r="BB16" s="2" t="s">
        <v>52</v>
      </c>
      <c r="BC16" s="2" t="s">
        <v>46</v>
      </c>
      <c r="BD16" s="23" t="s">
        <v>47</v>
      </c>
      <c r="BF16" s="4"/>
      <c r="BG16" s="20" t="s">
        <v>38</v>
      </c>
      <c r="BH16" s="23" t="s">
        <v>39</v>
      </c>
      <c r="BI16" s="23" t="s">
        <v>40</v>
      </c>
      <c r="BJ16" s="23" t="s">
        <v>41</v>
      </c>
      <c r="BK16" s="2" t="s">
        <v>48</v>
      </c>
      <c r="BL16" s="2" t="s">
        <v>42</v>
      </c>
      <c r="BM16" s="2" t="s">
        <v>49</v>
      </c>
      <c r="BN16" s="2" t="s">
        <v>43</v>
      </c>
      <c r="BO16" s="2" t="s">
        <v>50</v>
      </c>
      <c r="BP16" s="2" t="s">
        <v>44</v>
      </c>
      <c r="BQ16" s="2" t="s">
        <v>51</v>
      </c>
      <c r="BR16" s="2" t="s">
        <v>45</v>
      </c>
      <c r="BS16" s="2" t="s">
        <v>52</v>
      </c>
      <c r="BT16" s="2" t="s">
        <v>46</v>
      </c>
      <c r="BU16" s="23" t="s">
        <v>47</v>
      </c>
      <c r="BW16" s="4"/>
      <c r="BX16" s="20" t="s">
        <v>38</v>
      </c>
      <c r="BY16" s="23" t="s">
        <v>39</v>
      </c>
      <c r="BZ16" s="23" t="s">
        <v>40</v>
      </c>
      <c r="CA16" s="23" t="s">
        <v>41</v>
      </c>
      <c r="CB16" s="2" t="s">
        <v>48</v>
      </c>
      <c r="CC16" s="2" t="s">
        <v>42</v>
      </c>
      <c r="CD16" s="2" t="s">
        <v>49</v>
      </c>
      <c r="CE16" s="2" t="s">
        <v>43</v>
      </c>
      <c r="CF16" s="2" t="s">
        <v>50</v>
      </c>
      <c r="CG16" s="2" t="s">
        <v>44</v>
      </c>
      <c r="CH16" s="2" t="s">
        <v>51</v>
      </c>
      <c r="CI16" s="2" t="s">
        <v>45</v>
      </c>
      <c r="CJ16" s="2" t="s">
        <v>52</v>
      </c>
      <c r="CK16" s="2" t="s">
        <v>46</v>
      </c>
      <c r="CL16" s="23" t="s">
        <v>47</v>
      </c>
      <c r="CN16" s="4"/>
      <c r="CO16" s="20" t="s">
        <v>38</v>
      </c>
      <c r="CP16" s="23" t="s">
        <v>39</v>
      </c>
      <c r="CQ16" s="23" t="s">
        <v>40</v>
      </c>
      <c r="CR16" s="23" t="s">
        <v>41</v>
      </c>
      <c r="CS16" s="2" t="s">
        <v>48</v>
      </c>
      <c r="CT16" s="2" t="s">
        <v>42</v>
      </c>
      <c r="CU16" s="2" t="s">
        <v>49</v>
      </c>
      <c r="CV16" s="2" t="s">
        <v>43</v>
      </c>
      <c r="CW16" s="2" t="s">
        <v>50</v>
      </c>
      <c r="CX16" s="2" t="s">
        <v>44</v>
      </c>
      <c r="CY16" s="2" t="s">
        <v>51</v>
      </c>
      <c r="CZ16" s="2" t="s">
        <v>45</v>
      </c>
      <c r="DA16" s="2" t="s">
        <v>52</v>
      </c>
      <c r="DB16" s="2" t="s">
        <v>46</v>
      </c>
      <c r="DC16" s="23" t="s">
        <v>47</v>
      </c>
      <c r="DE16" s="4"/>
      <c r="DF16" s="20" t="s">
        <v>38</v>
      </c>
      <c r="DG16" s="23" t="s">
        <v>39</v>
      </c>
      <c r="DH16" s="23" t="s">
        <v>40</v>
      </c>
      <c r="DI16" s="23" t="s">
        <v>41</v>
      </c>
      <c r="DJ16" s="2" t="s">
        <v>48</v>
      </c>
      <c r="DK16" s="2" t="s">
        <v>42</v>
      </c>
      <c r="DL16" s="2" t="s">
        <v>49</v>
      </c>
      <c r="DM16" s="2" t="s">
        <v>43</v>
      </c>
      <c r="DN16" s="2" t="s">
        <v>50</v>
      </c>
      <c r="DO16" s="2" t="s">
        <v>44</v>
      </c>
      <c r="DP16" s="2" t="s">
        <v>51</v>
      </c>
      <c r="DQ16" s="2" t="s">
        <v>45</v>
      </c>
      <c r="DR16" s="2" t="s">
        <v>52</v>
      </c>
      <c r="DS16" s="2" t="s">
        <v>46</v>
      </c>
      <c r="DT16" s="23" t="s">
        <v>47</v>
      </c>
      <c r="DV16" s="4"/>
      <c r="DW16" s="1" t="s">
        <v>53</v>
      </c>
      <c r="EM16" s="4"/>
      <c r="EN16" s="1" t="s">
        <v>53</v>
      </c>
      <c r="FD16" s="4"/>
      <c r="FE16" s="1" t="s">
        <v>53</v>
      </c>
      <c r="FU16" s="4"/>
    </row>
    <row r="17">
      <c r="A17" s="23" t="s">
        <v>27</v>
      </c>
      <c r="B17" s="2">
        <v>30.0</v>
      </c>
      <c r="C17" s="9">
        <f>B11</f>
        <v>200000</v>
      </c>
      <c r="D17" s="9">
        <f t="shared" ref="D17:D19" si="1">B17*C17</f>
        <v>6000000</v>
      </c>
      <c r="E17" s="24">
        <f t="shared" ref="E17:E19" si="2">IF(SUM($D$17:$D$19)&gt;=$B$3, D17*$E$3, "0")</f>
        <v>60000</v>
      </c>
      <c r="F17" s="24">
        <f t="shared" ref="F17:F19" si="3">IF(SUM($D$17:$D$19)&gt;=$B$4, (D17-E17)*$E$4, "0")</f>
        <v>118800</v>
      </c>
      <c r="G17" s="24">
        <f t="shared" ref="G17:G19" si="4">IF(SUM($D$17:$D$19)&gt;=$B$5, (D17-E17-F17)*$E$5, "0")</f>
        <v>174636</v>
      </c>
      <c r="H17" s="24">
        <f t="shared" ref="H17:H19" si="5">IF(SUM($D$17:$D$19)&gt;=$B$6, (D17-E17-F17-G17)*$E$6, "0")</f>
        <v>225862.56</v>
      </c>
      <c r="I17" s="24">
        <f t="shared" ref="I17:I19" si="6">IF(SUM($D$17:$D$19)&gt;=$B$7, (D17-E17-F17-G17-H17)*$E$7, "0")</f>
        <v>271035.072</v>
      </c>
      <c r="J17" s="25">
        <f t="shared" ref="J17:J19" si="7">D17-E17-F17-G17-H17-I17</f>
        <v>5149666.368</v>
      </c>
      <c r="L17" s="9"/>
      <c r="M17" s="20" t="s">
        <v>27</v>
      </c>
      <c r="N17" s="2">
        <v>3.0</v>
      </c>
      <c r="O17" s="9">
        <f>N11</f>
        <v>200000</v>
      </c>
      <c r="P17" s="9">
        <f t="shared" ref="P17:P19" si="8">N17*O17</f>
        <v>600000</v>
      </c>
      <c r="Q17" s="24" t="str">
        <f t="shared" ref="Q17:Q19" si="9">IF(SUM($P$17:$P$19)&gt;=$N$3, P17*$Q$3, "0")</f>
        <v>0</v>
      </c>
      <c r="R17" s="24" t="str">
        <f t="shared" ref="R17:R19" si="10">IF(SUM($P$17:$P$19)&gt;=$N$4, (P17-Q17)*$Q$4, "0")</f>
        <v>0</v>
      </c>
      <c r="S17" s="24" t="str">
        <f t="shared" ref="S17:S19" si="11">IF(SUM($P$17:$P$19)&gt;=$N$5, (P17-Q17-R17)*$Q$5, "0")</f>
        <v>0</v>
      </c>
      <c r="T17" s="24" t="str">
        <f t="shared" ref="T17:T19" si="12">IF(SUM($P$17:$P$19)&gt;=$N$6, (P17-Q17-R17-S17)*$Q$6, "0")</f>
        <v>0</v>
      </c>
      <c r="U17" s="24" t="str">
        <f t="shared" ref="U17:U19" si="13">IF(SUM($P$17:$P$19)&gt;=$N$7, (P17-Q17-R17-S17-T17)*$Q$7, "0")</f>
        <v>0</v>
      </c>
      <c r="V17" s="25">
        <f t="shared" ref="V17:V19" si="14">P17-Q17-R17-S17-T17-U17</f>
        <v>600000</v>
      </c>
      <c r="X17" s="9"/>
      <c r="Y17" s="20" t="s">
        <v>27</v>
      </c>
      <c r="Z17" s="2">
        <v>30.0</v>
      </c>
      <c r="AA17" s="9">
        <f>Z11</f>
        <v>200000</v>
      </c>
      <c r="AB17" s="9">
        <f t="shared" ref="AB17:AB19" si="15">Z17*AA17</f>
        <v>6000000</v>
      </c>
      <c r="AC17" s="24">
        <f t="shared" ref="AC17:AC19" si="16">IF(SUM($AB$17:$AB$19)&gt;=$Z$3, AB17*$AC$3, "0")</f>
        <v>60000</v>
      </c>
      <c r="AD17" s="24">
        <f t="shared" ref="AD17:AD19" si="17">IF(SUM($AC$17:$AC$19,$AE$17:$AE$19,$AG$17:$AG$19,$AI$17:$AI$19,$AK$17:$AK$19)&gt;=$Y$15,0,AC17)</f>
        <v>60000</v>
      </c>
      <c r="AE17" s="24">
        <f t="shared" ref="AE17:AE19" si="18">IF(SUM($AB$17:$AB$19)&gt;=$Z$4, (AB17-AC17)*$AC$4, "0")</f>
        <v>118800</v>
      </c>
      <c r="AF17" s="24">
        <f t="shared" ref="AF17:AF19" si="19">IF(SUM($AC$17:$AC$19,$AE$17:$AE$19,$AG$17:$AG$19,$AI$17:$AI$19,$AK$17:$AK$19)&gt;=$Y$15,0,AE17)</f>
        <v>118800</v>
      </c>
      <c r="AG17" s="24">
        <f t="shared" ref="AG17:AG19" si="20">IF(SUM($AB$17:$AB$19)&gt;=$Z$5, (AB17-AC17-AE17)*$AC$5, "0")</f>
        <v>174636</v>
      </c>
      <c r="AH17" s="24">
        <f t="shared" ref="AH17:AH19" si="21">IF(SUM($AC$17:$AC$19,$AE$17:$AE$19,$AG$17:$AG$19,$AI$17:$AI$19,$AK$17:$AK$19)&gt;=$Y$15,0,AG17)</f>
        <v>174636</v>
      </c>
      <c r="AI17" s="24" t="str">
        <f t="shared" ref="AI17:AI19" si="22">IF(SUM($AB$17:$AB$19)&gt;=$Z$6, (AB17-AC17-AE17-AG17)*$AC$6, "0")</f>
        <v>0</v>
      </c>
      <c r="AJ17" s="24" t="str">
        <f t="shared" ref="AJ17:AJ19" si="23">IF(SUM($AC$17:$AC$19,$AE$17:$AE$19,$AG$17:$AG$19,$AI$17:$AI$19,$AK$17:$AK$19)&gt;=$Y$15,0,AI17)</f>
        <v>0</v>
      </c>
      <c r="AK17" s="24" t="str">
        <f t="shared" ref="AK17:AK19" si="24">IF(SUM($AB$17:$AB$19)&gt;=$Z$7, (AB17-AC17-AE17-AG17-AI17)*$AC$7, "0")</f>
        <v>0</v>
      </c>
      <c r="AL17" s="24" t="str">
        <f t="shared" ref="AL17:AL19" si="25">IF(SUM($AC$17:$AC$19,$AE$17:$AE$19,$AG$17:$AG$19,$AI$17:$AI$19,$AK$17:$AK$19)&gt;=$Y$15,0,AK17)</f>
        <v>0</v>
      </c>
      <c r="AM17" s="25">
        <f t="shared" ref="AM17:AM19" si="26">AB17-AD17-AF17-AH17-AJ17-AL17</f>
        <v>5646564</v>
      </c>
      <c r="AO17" s="19"/>
      <c r="AP17" s="23" t="s">
        <v>27</v>
      </c>
      <c r="AQ17" s="2">
        <v>30.0</v>
      </c>
      <c r="AR17" s="9">
        <f>AQ11</f>
        <v>200000</v>
      </c>
      <c r="AS17" s="9">
        <f t="shared" ref="AS17:AS19" si="27">AQ17*AR17</f>
        <v>6000000</v>
      </c>
      <c r="AT17" s="24">
        <f t="shared" ref="AT17:AT19" si="28">IF(SUM($AS$17:$AS$19)&gt;=$AQ$3, AS17*$AT$3, "0")</f>
        <v>60000</v>
      </c>
      <c r="AU17" s="24">
        <f t="shared" ref="AU17:AU19" si="29">IF(SUM($AT$17:$AT$19,$AV$17:$AV$19,$AX$17:$AX$19,$AZ$17:$AZ$19,$BB$17:$BB$19)&gt;=$AP$15,0,AT17)</f>
        <v>0</v>
      </c>
      <c r="AV17" s="24">
        <f t="shared" ref="AV17:AV19" si="30">IF(SUM($AS$17:$AS$19)&gt;=$AQ$4, (AS17-AT17)*$AT$4, "0")</f>
        <v>118800</v>
      </c>
      <c r="AW17" s="24">
        <f t="shared" ref="AW17:AW19" si="31">IF(SUM($AT$17:$AT$19,$AV$17:$AV$19,$AX$17:$AX$19,$AZ$17:$AZ$19,$BB$17:$BB$19)&gt;=$AP$15,0,AV17)</f>
        <v>0</v>
      </c>
      <c r="AX17" s="24">
        <f t="shared" ref="AX17:AX19" si="32">IF(SUM($AS$17:$AS$19)&gt;=$AQ$5, (AS17-AT17-AV17)*$AT$5, "0")</f>
        <v>174636</v>
      </c>
      <c r="AY17" s="24">
        <f t="shared" ref="AY17:AY19" si="33">IF(SUM($AT$17:$AT$19,$AV$17:$AV$19,$AX$17:$AX$19,$AZ$17:$AZ$19,$BB$17:$BB$19)&gt;=$AP$15,0,AX17)</f>
        <v>0</v>
      </c>
      <c r="AZ17" s="24">
        <f t="shared" ref="AZ17:AZ19" si="34">IF(SUM($AS$17:$AS$19)&gt;=$AQ$6, (AS17-AT17-AV17-AX17)*$AT$6, "0")</f>
        <v>225862.56</v>
      </c>
      <c r="BA17" s="24">
        <f t="shared" ref="BA17:BA19" si="35">IF(SUM($AT$17:$AT$19,$AV$17:$AV$19,$AX$17:$AX$19,$AZ$17:$AZ$19,$BB$17:$BB$19)&gt;=$AP$15,0,AZ17)</f>
        <v>0</v>
      </c>
      <c r="BB17" s="24">
        <f t="shared" ref="BB17:BB19" si="36">IF(SUM($AS$17:$AS$19)&gt;=$AQ$7, (AS17-AT17-AV17-AX17-AZ17)*$AT$7, "0")</f>
        <v>271035.072</v>
      </c>
      <c r="BC17" s="24">
        <f t="shared" ref="BC17:BC19" si="37">IF(SUM($AT$17:$AT$19,$AV$17:$AV$19,$AX$17:$AX$19,$AZ$17:$AZ$19,$BB$17:$BB$19)&gt;=$AP$15,0,BB17)</f>
        <v>0</v>
      </c>
      <c r="BD17" s="25">
        <f t="shared" ref="BD17:BD19" si="38">AS17-AU17-AW17-AY17-BA17-BC17</f>
        <v>6000000</v>
      </c>
      <c r="BF17" s="19"/>
      <c r="BG17" s="20" t="s">
        <v>27</v>
      </c>
      <c r="BH17" s="2">
        <v>30.0</v>
      </c>
      <c r="BI17" s="9">
        <f>BH11</f>
        <v>200000</v>
      </c>
      <c r="BJ17" s="9">
        <f t="shared" ref="BJ17:BJ19" si="39">BH17*BI17</f>
        <v>6000000</v>
      </c>
      <c r="BK17" s="24">
        <f t="shared" ref="BK17:BK19" si="40">IF(SUM($BJ$17:$BJ$19)&gt;=BH$3, BJ17*$BK$3, "0")</f>
        <v>60000</v>
      </c>
      <c r="BL17" s="24">
        <f t="shared" ref="BL17:BL19" si="41">IF(SUM($BK$17:$BK$19,$BM$17:$BM$19,$BO$17:$BO$19,$BQ$17:$BQ$19,$BS$17:$BS$19)&gt;=$BG$15,0,BK17)</f>
        <v>60000</v>
      </c>
      <c r="BM17" s="24">
        <f t="shared" ref="BM17:BM19" si="42">IF(SUM($BJ$17:$BJ$19)&gt;=$BH$4, (BJ17-BK17)*$BK$4, "0")</f>
        <v>118800</v>
      </c>
      <c r="BN17" s="24">
        <f t="shared" ref="BN17:BN19" si="43">IF(SUM($BK$17:$BK$19,$BM$17:$BM$19,$BO$17:$BO$19,$BQ$17:$BQ$19,$BS$17:$BS$19)&gt;=$BG$15,0,BM17)</f>
        <v>118800</v>
      </c>
      <c r="BO17" s="24">
        <f t="shared" ref="BO17:BO19" si="44">IF(SUM($BJ$17:$BJ$19)&gt;=$BH$5, (BJ17-BK17-BM17)*$BK$5, "0")</f>
        <v>174636</v>
      </c>
      <c r="BP17" s="24">
        <f t="shared" ref="BP17:BP19" si="45">IF(SUM($BK$17:$BK$19,$BM$17:$BM$19,$BO$17:$BO$19,$BQ$17:$BQ$19,$BS$17:$BS$19)&gt;=$BG$15,0,BO17)</f>
        <v>174636</v>
      </c>
      <c r="BQ17" s="24">
        <f t="shared" ref="BQ17:BQ19" si="46">IF(SUM($BJ$17:$BJ$19)&gt;=$BH$6, (BJ17-BK17-BM17-BO17)*$BK$6, "0")</f>
        <v>225862.56</v>
      </c>
      <c r="BR17" s="24">
        <f t="shared" ref="BR17:BR19" si="47">IF(SUM($BK$17:$BK$19,$BM$17:$BM$19,$BO$17:$BO$19,$BQ$17:$BQ$19,$BS$17:$BS$19)&gt;=$BG$15,0,BQ17)</f>
        <v>225862.56</v>
      </c>
      <c r="BS17" s="24">
        <f t="shared" ref="BS17:BS19" si="48">IF(SUM($BJ$17:$BJ$19)&gt;=$BH$7, (BJ17-BK17-BM17-BO17-BQ17)*$BK$7, "0")</f>
        <v>271035.072</v>
      </c>
      <c r="BT17" s="24">
        <f t="shared" ref="BT17:BT19" si="49">IF(SUM($BK$17:$BK$19,$BM$17:$BM$19,$BO$17:$BO$19,$BQ$17:$BQ$19,$BS$17:$BS$19)&gt;=$BG$15,0,BS17)</f>
        <v>271035.072</v>
      </c>
      <c r="BU17" s="25">
        <f t="shared" ref="BU17:BU19" si="50">BJ17-BL17-BN17-BP17-BR17-BT17</f>
        <v>5149666.368</v>
      </c>
      <c r="BW17" s="19"/>
      <c r="BX17" s="20" t="s">
        <v>27</v>
      </c>
      <c r="BY17" s="2">
        <v>10.0</v>
      </c>
      <c r="BZ17" s="9">
        <f>BY11</f>
        <v>200000</v>
      </c>
      <c r="CA17" s="9">
        <f t="shared" ref="CA17:CA19" si="51">BY17*BZ17</f>
        <v>2000000</v>
      </c>
      <c r="CB17" s="24">
        <f t="shared" ref="CB17:CB19" si="52">IF(SUM($CA$17:$CA$19)&gt;=BY$3, CA17*$CB$3, "0")</f>
        <v>20000</v>
      </c>
      <c r="CC17" s="24">
        <f t="shared" ref="CC17:CC19" si="53">IF(SUM($CB$17:$CB$19,$CD$17:$CD$19,$CF$17:$CF$19,$CH$17:$CH$19,$CJ$17:$CJ$19)&gt;=$BX$15,0,CB17)</f>
        <v>0</v>
      </c>
      <c r="CD17" s="24">
        <f t="shared" ref="CD17:CD19" si="54">IF(SUM($CA$17:$CA$19)&gt;=BY$4, (CA17-CB17)*$CB$4, "0")</f>
        <v>39600</v>
      </c>
      <c r="CE17" s="24">
        <f t="shared" ref="CE17:CE19" si="55">IF(SUM($CB$17:$CB$19,$CD$17:$CD$19,$CF$17:$CF$19,$CH$17:$CH$19,$CJ$17:$CJ$19)&gt;=$BX$15,0,CD17)</f>
        <v>0</v>
      </c>
      <c r="CF17" s="24" t="str">
        <f t="shared" ref="CF17:CF19" si="56">IF(SUM($CA$17:$CA$19)&gt;=$BY$5, ($CA17-CB17-CD17)*$CB$5, "0")</f>
        <v>0</v>
      </c>
      <c r="CG17" s="24">
        <f t="shared" ref="CG17:CG19" si="57">IF(SUM($CB$17:$CB$19,$CD$17:$CD$19,$CF$17:$CF$19,$CH$17:$CH$19,$CJ$17:$CJ$19)&gt;=$BX$15,0,CF17)</f>
        <v>0</v>
      </c>
      <c r="CH17" s="24" t="str">
        <f t="shared" ref="CH17:CH19" si="58">IF(SUM($CA$17:$CA$19)&gt;=$BY$6, ($CA17-CB17-CD17-CF17)*$CB$6, "0")</f>
        <v>0</v>
      </c>
      <c r="CI17" s="24">
        <f t="shared" ref="CI17:CI19" si="59">IF(SUM($CB$17:$CB$19,$CD$17:$CD$19,$CF$17:$CF$19,$CH$17:$CH$19,$CJ$17:$CJ$19)&gt;=$BX$15,0,CH17)</f>
        <v>0</v>
      </c>
      <c r="CJ17" s="24" t="str">
        <f t="shared" ref="CJ17:CJ19" si="60">IF(SUM($CA$17:$CA$19)&gt;=$BY$7, ($CA17-CB17-CD17-CF17-CH17)*$CB$7, "0")</f>
        <v>0</v>
      </c>
      <c r="CK17" s="24">
        <f t="shared" ref="CK17:CK19" si="61">IF(SUM($CB$17:$CB$19,$CD$17:$CD$19,$CF$17:$CF$19,$CH$17:$CH$19,$CJ$17:$CJ$19)&gt;=$BX$15,0,CJ17)</f>
        <v>0</v>
      </c>
      <c r="CL17" s="25">
        <f t="shared" ref="CL17:CL19" si="62">CA17-CC17-CE17-CG17-CI17-CK17</f>
        <v>2000000</v>
      </c>
      <c r="CN17" s="19"/>
      <c r="CO17" s="20" t="s">
        <v>27</v>
      </c>
      <c r="CP17" s="2">
        <v>30.0</v>
      </c>
      <c r="CQ17" s="9">
        <f>CP11</f>
        <v>200000</v>
      </c>
      <c r="CR17" s="9">
        <f t="shared" ref="CR17:CR19" si="63">CP17*CQ17</f>
        <v>6000000</v>
      </c>
      <c r="CS17" s="24">
        <f t="shared" ref="CS17:CS19" si="64">IF(SUM($CR$17:$CR$19)&gt;=CP$3, CR17*$CS$3, "0")</f>
        <v>60000</v>
      </c>
      <c r="CT17" s="24">
        <f t="shared" ref="CT17:CT19" si="65">(IF($CQ$15-$CT$15&gt;=$CO$15,"0", IF(SUM($CS$17:$CS$19,$CU$17:$CU$19,$CW$17:$CW$19,$CY$17:$CY$19,$DA$17:$DA$19)&gt;=$BG$15,0,CS17)))</f>
        <v>60000</v>
      </c>
      <c r="CU17" s="24">
        <f t="shared" ref="CU17:CU19" si="66">IF(SUM($CR$17:$CR$19)&gt;=$CP$4, ($CR17-CS17)*$CS$4, "0")</f>
        <v>118800</v>
      </c>
      <c r="CV17" s="24">
        <f t="shared" ref="CV17:CV19" si="67">(IF($CQ$15-$CT$15&gt;=$CO$15,"0", IF(SUM($CS$17:$CS$19,$CU$17:$CU$19,$CW$17:$CW$19,$CY$17:$CY$19,$DA$17:$DA$19)&gt;=$BG$15,0,CU17)))</f>
        <v>118800</v>
      </c>
      <c r="CW17" s="24">
        <f t="shared" ref="CW17:CW19" si="68">IF(SUM($CR$17:$CR$19)&gt;=$CP$5, ($CR17-CS17-CU17)*$CS$5, "0")</f>
        <v>174636</v>
      </c>
      <c r="CX17" s="24">
        <f t="shared" ref="CX17:CX19" si="69">(IF($CQ$15-$CT$15&gt;=$CO$15,"0", IF(SUM($CS$17:$CS$19,$CU$17:$CU$19,$CW$17:$CW$19,$CY$17:$CY$19,$DA$17:$DA$19)&gt;=$BG$15,0,CW17)))</f>
        <v>174636</v>
      </c>
      <c r="CY17" s="24">
        <f t="shared" ref="CY17:CY19" si="70">IF(SUM($CR$17:$CR$19)&gt;=$CP$6, ($CR17-CS17-CU17-CW17)*$CS$6, "0")</f>
        <v>225862.56</v>
      </c>
      <c r="CZ17" s="24">
        <f t="shared" ref="CZ17:CZ19" si="71">(IF($CQ$15-$CT$15&gt;=$CO$15,"0", IF(SUM($CS$17:$CS$19,$CU$17:$CU$19,$CW$17:$CW$19,$CY$17:$CY$19,$DA$17:$DA$19)&gt;=$BG$15,0,CY17)))</f>
        <v>225862.56</v>
      </c>
      <c r="DA17" s="24">
        <f t="shared" ref="DA17:DA19" si="72">IF(SUM($CR$17:$CR$19)&gt;=$CP$7, ($CR17-CS17-CU17-CW17-CY17)*$CS$7, "0")</f>
        <v>271035.072</v>
      </c>
      <c r="DB17" s="24">
        <f t="shared" ref="DB17:DB19" si="73">(IF($CQ$15-$CT$15&gt;=$CO$15,"0", IF(SUM($CS$17:$CS$19,$CU$17:$CU$19,$CW$17:$CW$19,$CY$17:$CY$19,$DA$17:$DA$19)&gt;=$BG$15,0,DA17)))</f>
        <v>271035.072</v>
      </c>
      <c r="DC17" s="25">
        <f t="shared" ref="DC17:DC19" si="74">CR17-CT17-CV17-CX17-CZ17-DB17</f>
        <v>5149666.368</v>
      </c>
      <c r="DE17" s="19"/>
      <c r="DF17" s="20" t="s">
        <v>27</v>
      </c>
      <c r="DG17" s="2">
        <v>30.0</v>
      </c>
      <c r="DH17" s="9">
        <f>DG11</f>
        <v>200000</v>
      </c>
      <c r="DI17" s="9">
        <f t="shared" ref="DI17:DI19" si="75">DG17*DH17</f>
        <v>6000000</v>
      </c>
      <c r="DJ17" s="24">
        <f t="shared" ref="DJ17:DJ19" si="76">IF(SUM($DI$17:$DI$19)&gt;=DG$3, DI17*$DJ$3, "0")</f>
        <v>60000</v>
      </c>
      <c r="DK17" s="24" t="str">
        <f t="shared" ref="DK17:DK19" si="77">(IF($DF$15-$DH$15&gt;=$DK$15,"0", IF(SUM($DJ$17:$DJ$19,$DL$17:$DL$19,$DN$17:$DN$19,$DP$17:$DP$19,$DR$17:$DR$19)&gt;=$BG$15,0,DJ17)))</f>
        <v>0</v>
      </c>
      <c r="DL17" s="24">
        <f t="shared" ref="DL17:DL19" si="78">IF(SUM($DI$17:$DI$19)&gt;=$DG$4, (DI17-DJ17)*$DJ$4, "0")</f>
        <v>118800</v>
      </c>
      <c r="DM17" s="24" t="str">
        <f t="shared" ref="DM17:DM19" si="79">(IF($DF$15-$DH$15&gt;=$DK$15,"0", IF(SUM($DJ$17:$DJ$19,$DL$17:$DL$19,$DN$17:$DN$19,$DP$17:$DP$19,$DR$17:$DR$19)&gt;=$BG$15,0,DL17)))</f>
        <v>0</v>
      </c>
      <c r="DN17" s="24">
        <f t="shared" ref="DN17:DN19" si="80">IF(SUM($DI$17:$DI$19)&gt;=$DG$5, ($DI17-DJ17-DL17)*$DJ$5, "0")</f>
        <v>174636</v>
      </c>
      <c r="DO17" s="24" t="str">
        <f t="shared" ref="DO17:DO19" si="81">(IF($DF$15-$DH$15&gt;=$DK$15,"0", IF(SUM($DJ$17:$DJ$19,$DL$17:$DL$19,$DN$17:$DN$19,$DP$17:$DP$19,$DR$17:$DR$19)&gt;=$BG$15,0,DN17)))</f>
        <v>0</v>
      </c>
      <c r="DP17" s="24">
        <f t="shared" ref="DP17:DP19" si="82">IF(SUM($DI$17:$DI$19)&gt;=$DG$6, ($DI17-DJ17-DL17-DN17)*$DJ$6, "0")</f>
        <v>225862.56</v>
      </c>
      <c r="DQ17" s="24" t="str">
        <f t="shared" ref="DQ17:DQ19" si="83">(IF($DF$15-$DH$15&gt;=$DK$15,"0", IF(SUM($DJ$17:$DJ$19,$DL$17:$DL$19,$DN$17:$DN$19,$DP$17:$DP$19,$DR$17:$DR$19)&gt;=$BG$15,0,DP17)))</f>
        <v>0</v>
      </c>
      <c r="DR17" s="24">
        <f t="shared" ref="DR17:DR19" si="84">IF(SUM($DI$17:$DI$19)&gt;=$DG$7, ($DI17-DJ17-DL17-DN17-DP17)*$DJ$7, "0")</f>
        <v>271035.072</v>
      </c>
      <c r="DS17" s="24" t="str">
        <f t="shared" ref="DS17:DS19" si="85">(IF($DF$15-$DH$15&gt;=$DK$15,"0", IF(SUM($DJ$17:$DJ$19,$DL$17:$DL$19,$DN$17:$DN$19,$DP$17:$DP$19,$DR$17:$DR$19)&gt;=$BG$15,0,DR17)))</f>
        <v>0</v>
      </c>
      <c r="DT17" s="25">
        <f t="shared" ref="DT17:DT19" si="86">DI17-DK17-DM17-DO17-DQ17-DS17</f>
        <v>6000000</v>
      </c>
      <c r="DV17" s="19"/>
      <c r="DW17" s="2" t="s">
        <v>38</v>
      </c>
      <c r="DX17" s="2" t="s">
        <v>39</v>
      </c>
      <c r="DY17" s="2" t="s">
        <v>40</v>
      </c>
      <c r="DZ17" s="2" t="s">
        <v>41</v>
      </c>
      <c r="EA17" s="2" t="s">
        <v>48</v>
      </c>
      <c r="EB17" s="2" t="s">
        <v>42</v>
      </c>
      <c r="EC17" s="2" t="s">
        <v>49</v>
      </c>
      <c r="ED17" s="2" t="s">
        <v>43</v>
      </c>
      <c r="EE17" s="2" t="s">
        <v>50</v>
      </c>
      <c r="EF17" s="2" t="s">
        <v>44</v>
      </c>
      <c r="EG17" s="2" t="s">
        <v>51</v>
      </c>
      <c r="EH17" s="2" t="s">
        <v>45</v>
      </c>
      <c r="EI17" s="2" t="s">
        <v>52</v>
      </c>
      <c r="EJ17" s="2" t="s">
        <v>46</v>
      </c>
      <c r="EK17" s="23" t="s">
        <v>47</v>
      </c>
      <c r="EM17" s="19"/>
      <c r="EN17" s="2" t="s">
        <v>38</v>
      </c>
      <c r="EO17" s="2" t="s">
        <v>39</v>
      </c>
      <c r="EP17" s="2" t="s">
        <v>40</v>
      </c>
      <c r="EQ17" s="2" t="s">
        <v>41</v>
      </c>
      <c r="ER17" s="2" t="s">
        <v>48</v>
      </c>
      <c r="ES17" s="2" t="s">
        <v>42</v>
      </c>
      <c r="ET17" s="2" t="s">
        <v>49</v>
      </c>
      <c r="EU17" s="2" t="s">
        <v>43</v>
      </c>
      <c r="EV17" s="2" t="s">
        <v>50</v>
      </c>
      <c r="EW17" s="2" t="s">
        <v>44</v>
      </c>
      <c r="EX17" s="2" t="s">
        <v>51</v>
      </c>
      <c r="EY17" s="2" t="s">
        <v>45</v>
      </c>
      <c r="EZ17" s="2" t="s">
        <v>52</v>
      </c>
      <c r="FA17" s="2" t="s">
        <v>46</v>
      </c>
      <c r="FB17" s="23" t="s">
        <v>47</v>
      </c>
      <c r="FD17" s="19"/>
      <c r="FE17" s="2" t="s">
        <v>38</v>
      </c>
      <c r="FF17" s="2" t="s">
        <v>39</v>
      </c>
      <c r="FG17" s="2" t="s">
        <v>40</v>
      </c>
      <c r="FH17" s="2" t="s">
        <v>41</v>
      </c>
      <c r="FI17" s="2" t="s">
        <v>48</v>
      </c>
      <c r="FJ17" s="2" t="s">
        <v>42</v>
      </c>
      <c r="FK17" s="2" t="s">
        <v>49</v>
      </c>
      <c r="FL17" s="2" t="s">
        <v>43</v>
      </c>
      <c r="FM17" s="2" t="s">
        <v>50</v>
      </c>
      <c r="FN17" s="2" t="s">
        <v>44</v>
      </c>
      <c r="FO17" s="2" t="s">
        <v>51</v>
      </c>
      <c r="FP17" s="2" t="s">
        <v>45</v>
      </c>
      <c r="FQ17" s="2" t="s">
        <v>52</v>
      </c>
      <c r="FR17" s="2" t="s">
        <v>46</v>
      </c>
      <c r="FS17" s="23" t="s">
        <v>47</v>
      </c>
      <c r="FU17" s="19"/>
      <c r="FV17" s="9"/>
      <c r="FW17" s="9"/>
      <c r="FX17" s="9"/>
      <c r="FY17" s="9"/>
      <c r="FZ17" s="9"/>
      <c r="GA17" s="9"/>
    </row>
    <row r="18">
      <c r="A18" s="23" t="s">
        <v>29</v>
      </c>
      <c r="B18" s="2">
        <v>30.0</v>
      </c>
      <c r="C18" s="9">
        <f>C12</f>
        <v>300000</v>
      </c>
      <c r="D18" s="9">
        <f t="shared" si="1"/>
        <v>9000000</v>
      </c>
      <c r="E18" s="24">
        <f t="shared" si="2"/>
        <v>90000</v>
      </c>
      <c r="F18" s="24">
        <f t="shared" si="3"/>
        <v>178200</v>
      </c>
      <c r="G18" s="24">
        <f t="shared" si="4"/>
        <v>261954</v>
      </c>
      <c r="H18" s="24">
        <f t="shared" si="5"/>
        <v>338793.84</v>
      </c>
      <c r="I18" s="24">
        <f t="shared" si="6"/>
        <v>406552.608</v>
      </c>
      <c r="J18" s="25">
        <f t="shared" si="7"/>
        <v>7724499.552</v>
      </c>
      <c r="L18" s="9"/>
      <c r="M18" s="20" t="s">
        <v>29</v>
      </c>
      <c r="N18" s="2">
        <v>3.0</v>
      </c>
      <c r="O18" s="9">
        <f>O12</f>
        <v>300000</v>
      </c>
      <c r="P18" s="9">
        <f t="shared" si="8"/>
        <v>900000</v>
      </c>
      <c r="Q18" s="24" t="str">
        <f t="shared" si="9"/>
        <v>0</v>
      </c>
      <c r="R18" s="24" t="str">
        <f t="shared" si="10"/>
        <v>0</v>
      </c>
      <c r="S18" s="24" t="str">
        <f t="shared" si="11"/>
        <v>0</v>
      </c>
      <c r="T18" s="24" t="str">
        <f t="shared" si="12"/>
        <v>0</v>
      </c>
      <c r="U18" s="24" t="str">
        <f t="shared" si="13"/>
        <v>0</v>
      </c>
      <c r="V18" s="25">
        <f t="shared" si="14"/>
        <v>900000</v>
      </c>
      <c r="X18" s="9"/>
      <c r="Y18" s="20" t="s">
        <v>29</v>
      </c>
      <c r="Z18" s="2">
        <v>10.0</v>
      </c>
      <c r="AA18" s="9">
        <f>AA12</f>
        <v>300000</v>
      </c>
      <c r="AB18" s="9">
        <f t="shared" si="15"/>
        <v>3000000</v>
      </c>
      <c r="AC18" s="24">
        <f t="shared" si="16"/>
        <v>30000</v>
      </c>
      <c r="AD18" s="24">
        <f t="shared" si="17"/>
        <v>30000</v>
      </c>
      <c r="AE18" s="24">
        <f t="shared" si="18"/>
        <v>59400</v>
      </c>
      <c r="AF18" s="24">
        <f t="shared" si="19"/>
        <v>59400</v>
      </c>
      <c r="AG18" s="24">
        <f t="shared" si="20"/>
        <v>87318</v>
      </c>
      <c r="AH18" s="24">
        <f t="shared" si="21"/>
        <v>87318</v>
      </c>
      <c r="AI18" s="24" t="str">
        <f t="shared" si="22"/>
        <v>0</v>
      </c>
      <c r="AJ18" s="24" t="str">
        <f t="shared" si="23"/>
        <v>0</v>
      </c>
      <c r="AK18" s="24" t="str">
        <f t="shared" si="24"/>
        <v>0</v>
      </c>
      <c r="AL18" s="24" t="str">
        <f t="shared" si="25"/>
        <v>0</v>
      </c>
      <c r="AM18" s="25">
        <f t="shared" si="26"/>
        <v>2823282</v>
      </c>
      <c r="AO18" s="19"/>
      <c r="AP18" s="23" t="s">
        <v>29</v>
      </c>
      <c r="AQ18" s="2">
        <v>50.0</v>
      </c>
      <c r="AR18" s="9">
        <f>AR12</f>
        <v>300000</v>
      </c>
      <c r="AS18" s="9">
        <f t="shared" si="27"/>
        <v>15000000</v>
      </c>
      <c r="AT18" s="24">
        <f t="shared" si="28"/>
        <v>150000</v>
      </c>
      <c r="AU18" s="24">
        <f t="shared" si="29"/>
        <v>0</v>
      </c>
      <c r="AV18" s="24">
        <f t="shared" si="30"/>
        <v>297000</v>
      </c>
      <c r="AW18" s="24">
        <f t="shared" si="31"/>
        <v>0</v>
      </c>
      <c r="AX18" s="24">
        <f t="shared" si="32"/>
        <v>436590</v>
      </c>
      <c r="AY18" s="24">
        <f t="shared" si="33"/>
        <v>0</v>
      </c>
      <c r="AZ18" s="24">
        <f t="shared" si="34"/>
        <v>564656.4</v>
      </c>
      <c r="BA18" s="24">
        <f t="shared" si="35"/>
        <v>0</v>
      </c>
      <c r="BB18" s="24">
        <f t="shared" si="36"/>
        <v>677587.68</v>
      </c>
      <c r="BC18" s="24">
        <f t="shared" si="37"/>
        <v>0</v>
      </c>
      <c r="BD18" s="25">
        <f t="shared" si="38"/>
        <v>15000000</v>
      </c>
      <c r="BF18" s="19"/>
      <c r="BG18" s="20" t="s">
        <v>29</v>
      </c>
      <c r="BH18" s="2">
        <v>30.0</v>
      </c>
      <c r="BI18" s="9">
        <f>BI12</f>
        <v>300000</v>
      </c>
      <c r="BJ18" s="9">
        <f t="shared" si="39"/>
        <v>9000000</v>
      </c>
      <c r="BK18" s="24">
        <f t="shared" si="40"/>
        <v>90000</v>
      </c>
      <c r="BL18" s="24">
        <f t="shared" si="41"/>
        <v>90000</v>
      </c>
      <c r="BM18" s="24">
        <f t="shared" si="42"/>
        <v>178200</v>
      </c>
      <c r="BN18" s="24">
        <f t="shared" si="43"/>
        <v>178200</v>
      </c>
      <c r="BO18" s="24">
        <f t="shared" si="44"/>
        <v>261954</v>
      </c>
      <c r="BP18" s="24">
        <f t="shared" si="45"/>
        <v>261954</v>
      </c>
      <c r="BQ18" s="24">
        <f t="shared" si="46"/>
        <v>338793.84</v>
      </c>
      <c r="BR18" s="24">
        <f t="shared" si="47"/>
        <v>338793.84</v>
      </c>
      <c r="BS18" s="24">
        <f t="shared" si="48"/>
        <v>406552.608</v>
      </c>
      <c r="BT18" s="24">
        <f t="shared" si="49"/>
        <v>406552.608</v>
      </c>
      <c r="BU18" s="25">
        <f t="shared" si="50"/>
        <v>7724499.552</v>
      </c>
      <c r="BW18" s="19"/>
      <c r="BX18" s="20" t="s">
        <v>29</v>
      </c>
      <c r="BY18" s="2">
        <v>10.0</v>
      </c>
      <c r="BZ18" s="9">
        <f>BZ12</f>
        <v>300000</v>
      </c>
      <c r="CA18" s="9">
        <f t="shared" si="51"/>
        <v>3000000</v>
      </c>
      <c r="CB18" s="24">
        <f t="shared" si="52"/>
        <v>30000</v>
      </c>
      <c r="CC18" s="24">
        <f t="shared" si="53"/>
        <v>0</v>
      </c>
      <c r="CD18" s="24">
        <f t="shared" si="54"/>
        <v>59400</v>
      </c>
      <c r="CE18" s="24">
        <f t="shared" si="55"/>
        <v>0</v>
      </c>
      <c r="CF18" s="24" t="str">
        <f t="shared" si="56"/>
        <v>0</v>
      </c>
      <c r="CG18" s="24">
        <f t="shared" si="57"/>
        <v>0</v>
      </c>
      <c r="CH18" s="24" t="str">
        <f t="shared" si="58"/>
        <v>0</v>
      </c>
      <c r="CI18" s="24">
        <f t="shared" si="59"/>
        <v>0</v>
      </c>
      <c r="CJ18" s="24" t="str">
        <f t="shared" si="60"/>
        <v>0</v>
      </c>
      <c r="CK18" s="24">
        <f t="shared" si="61"/>
        <v>0</v>
      </c>
      <c r="CL18" s="25">
        <f t="shared" si="62"/>
        <v>3000000</v>
      </c>
      <c r="CN18" s="19"/>
      <c r="CO18" s="20" t="s">
        <v>29</v>
      </c>
      <c r="CP18" s="2">
        <v>30.0</v>
      </c>
      <c r="CQ18" s="9">
        <f>CQ12</f>
        <v>300000</v>
      </c>
      <c r="CR18" s="9">
        <f t="shared" si="63"/>
        <v>9000000</v>
      </c>
      <c r="CS18" s="24">
        <f t="shared" si="64"/>
        <v>90000</v>
      </c>
      <c r="CT18" s="24">
        <f t="shared" si="65"/>
        <v>90000</v>
      </c>
      <c r="CU18" s="24">
        <f t="shared" si="66"/>
        <v>178200</v>
      </c>
      <c r="CV18" s="24">
        <f t="shared" si="67"/>
        <v>178200</v>
      </c>
      <c r="CW18" s="24">
        <f t="shared" si="68"/>
        <v>261954</v>
      </c>
      <c r="CX18" s="24">
        <f t="shared" si="69"/>
        <v>261954</v>
      </c>
      <c r="CY18" s="24">
        <f t="shared" si="70"/>
        <v>338793.84</v>
      </c>
      <c r="CZ18" s="24">
        <f t="shared" si="71"/>
        <v>338793.84</v>
      </c>
      <c r="DA18" s="24">
        <f t="shared" si="72"/>
        <v>406552.608</v>
      </c>
      <c r="DB18" s="24">
        <f t="shared" si="73"/>
        <v>406552.608</v>
      </c>
      <c r="DC18" s="25">
        <f t="shared" si="74"/>
        <v>7724499.552</v>
      </c>
      <c r="DE18" s="19"/>
      <c r="DF18" s="20" t="s">
        <v>29</v>
      </c>
      <c r="DG18" s="2">
        <v>30.0</v>
      </c>
      <c r="DH18" s="9">
        <f>DH12</f>
        <v>300000</v>
      </c>
      <c r="DI18" s="9">
        <f t="shared" si="75"/>
        <v>9000000</v>
      </c>
      <c r="DJ18" s="24">
        <f t="shared" si="76"/>
        <v>90000</v>
      </c>
      <c r="DK18" s="24" t="str">
        <f t="shared" si="77"/>
        <v>0</v>
      </c>
      <c r="DL18" s="24">
        <f t="shared" si="78"/>
        <v>178200</v>
      </c>
      <c r="DM18" s="24" t="str">
        <f t="shared" si="79"/>
        <v>0</v>
      </c>
      <c r="DN18" s="24">
        <f t="shared" si="80"/>
        <v>261954</v>
      </c>
      <c r="DO18" s="24" t="str">
        <f t="shared" si="81"/>
        <v>0</v>
      </c>
      <c r="DP18" s="24">
        <f t="shared" si="82"/>
        <v>338793.84</v>
      </c>
      <c r="DQ18" s="24" t="str">
        <f t="shared" si="83"/>
        <v>0</v>
      </c>
      <c r="DR18" s="24">
        <f t="shared" si="84"/>
        <v>406552.608</v>
      </c>
      <c r="DS18" s="24" t="str">
        <f t="shared" si="85"/>
        <v>0</v>
      </c>
      <c r="DT18" s="25">
        <f t="shared" si="86"/>
        <v>9000000</v>
      </c>
      <c r="DV18" s="19"/>
      <c r="DW18" s="2" t="s">
        <v>27</v>
      </c>
      <c r="DX18" s="2">
        <v>50.0</v>
      </c>
      <c r="DY18" s="9">
        <f>DZ11</f>
        <v>200000</v>
      </c>
      <c r="DZ18" s="9">
        <f t="shared" ref="DZ18:DZ20" si="87">DX18*DY18</f>
        <v>10000000</v>
      </c>
      <c r="EA18" s="24">
        <f>IF($DZ$18&gt;=$DX$3, $DZ18*$EA$3, "0")</f>
        <v>100000</v>
      </c>
      <c r="EB18" s="24" t="str">
        <f t="shared" ref="EB18:EB20" si="88">(IF($DF$15-$DH$15&gt;=$DK$15,"0", IF(SUM($DJ$17:$DJ$19,$DL$17:$DL$19,$DN$17:$DN$19,$DP$17:$DP$19,$DR$17:$DR$19)&gt;=$BG$15,0,EA18)))</f>
        <v>0</v>
      </c>
      <c r="EC18" s="24">
        <f>IF(SUM($DZ$18:$DZ$20)&gt;=$DX$4, ($DZ18-EA18)*$EA$4, "0")</f>
        <v>198000</v>
      </c>
      <c r="ED18" s="24" t="str">
        <f t="shared" ref="ED18:ED20" si="89">(IF($DF$15-$DH$15&gt;=$DK$15,"0", IF(SUM($DJ$17:$DJ$19,$DL$17:$DL$19,$DN$17:$DN$19,$DP$17:$DP$19,$DR$17:$DR$19)&gt;=$BG$15,0,EC18)))</f>
        <v>0</v>
      </c>
      <c r="EE18" s="24">
        <f>IF(SUM($DZ$18:$DZ$20)&gt;=$DX$5, ($DZ18-EA18-EC18)*$EA$5, "0")</f>
        <v>291060</v>
      </c>
      <c r="EF18" s="24" t="str">
        <f t="shared" ref="EF18:EF20" si="90">(IF($DF$15-$DH$15&gt;=$DK$15,"0", IF(SUM($DJ$17:$DJ$19,$DL$17:$DL$19,$DN$17:$DN$19,$DP$17:$DP$19,$DR$17:$DR$19)&gt;=$BG$15,0,EE18)))</f>
        <v>0</v>
      </c>
      <c r="EG18" s="24" t="str">
        <f>IF(SUM($DZ$18:$DZ$20)&gt;=$DX$6, ($DZ18-EA18-EC18-EE18)*$EA$6, "0")</f>
        <v>0</v>
      </c>
      <c r="EH18" s="24" t="str">
        <f t="shared" ref="EH18:EH20" si="91">(IF($DF$15-$DH$15&gt;=$DK$15,"0", IF(SUM($DJ$17:$DJ$19,$DL$17:$DL$19,$DN$17:$DN$19,$DP$17:$DP$19,$DR$17:$DR$19)&gt;=$BG$15,0,EG18)))</f>
        <v>0</v>
      </c>
      <c r="EI18" s="24" t="str">
        <f>IF(SUM($DZ$18:$DZ$20)&gt;=$DX$7, ($DZ18-EA18-EC18-EE18-EG18)*$EA$7, "0")</f>
        <v>0</v>
      </c>
      <c r="EJ18" s="24" t="str">
        <f t="shared" ref="EJ18:EJ20" si="92">(IF($DF$15-$DH$15&gt;=$DK$15,"0", IF(SUM($DJ$17:$DJ$19,$DL$17:$DL$19,$DN$17:$DN$19,$DP$17:$DP$19,$DR$17:$DR$19)&gt;=$BG$15,0,EI18)))</f>
        <v>0</v>
      </c>
      <c r="EK18" s="25">
        <f t="shared" ref="EK18:EK20" si="93">DZ18-EB18-ED18-EF18-EH18-EJ18</f>
        <v>10000000</v>
      </c>
      <c r="EM18" s="19"/>
      <c r="EN18" s="2" t="s">
        <v>29</v>
      </c>
      <c r="EO18" s="2">
        <v>30.0</v>
      </c>
      <c r="EP18" s="9">
        <f>EQ11</f>
        <v>200000</v>
      </c>
      <c r="EQ18" s="9">
        <f t="shared" ref="EQ18:EQ20" si="94">EO18*EP18</f>
        <v>6000000</v>
      </c>
      <c r="ER18" s="24">
        <f t="shared" ref="ER18:ER19" si="95">IF(SUM($EQ$18:$EQ$19)&gt;=$EO$3, $EQ18*$ER$3, "0")</f>
        <v>60000</v>
      </c>
      <c r="ES18" s="24" t="str">
        <f t="shared" ref="ES18:ES20" si="96">(IF($DF$15-$DH$15&gt;=$DK$15,"0", IF(SUM($DJ$17:$DJ$19,$DL$17:$DL$19,$DN$17:$DN$19,$DP$17:$DP$19,$DR$17:$DR$19)&gt;=$BG$15,0,ER18)))</f>
        <v>0</v>
      </c>
      <c r="ET18" s="24">
        <f t="shared" ref="ET18:ET19" si="97">IF(SUM($EQ$18:$EQ$19)&gt;=$EO$4, ($EQ18-ER18)*$ER$4, "0")</f>
        <v>118800</v>
      </c>
      <c r="EU18" s="24" t="str">
        <f t="shared" ref="EU18:EU20" si="98">(IF($DF$15-$DH$15&gt;=$DK$15,"0", IF(SUM($DJ$17:$DJ$19,$DL$17:$DL$19,$DN$17:$DN$19,$DP$17:$DP$19,$DR$17:$DR$19)&gt;=$BG$15,0,ET18)))</f>
        <v>0</v>
      </c>
      <c r="EV18" s="24">
        <f t="shared" ref="EV18:EV19" si="99">IF(SUM($EQ$18:$EQ$19)&gt;=$EO$5, ($EQ18-ER18-ET18)*$ER$5, "0")</f>
        <v>174636</v>
      </c>
      <c r="EW18" s="24" t="str">
        <f t="shared" ref="EW18:EW20" si="100">(IF($DF$15-$DH$15&gt;=$DK$15,"0", IF(SUM($DJ$17:$DJ$19,$DL$17:$DL$19,$DN$17:$DN$19,$DP$17:$DP$19,$DR$17:$DR$19)&gt;=$BG$15,0,EV18)))</f>
        <v>0</v>
      </c>
      <c r="EX18" s="24" t="str">
        <f t="shared" ref="EX18:EX19" si="101">IF(SUM($EQ$18:$EQ$19)&gt;=$EO$6, ($EQ18-ER18-ET18-EV18)*$ER$6, "0")</f>
        <v>0</v>
      </c>
      <c r="EY18" s="24" t="str">
        <f t="shared" ref="EY18:EY20" si="102">(IF($DF$15-$DH$15&gt;=$DK$15,"0", IF(SUM($DJ$17:$DJ$19,$DL$17:$DL$19,$DN$17:$DN$19,$DP$17:$DP$19,$DR$17:$DR$19)&gt;=$BG$15,0,EX18)))</f>
        <v>0</v>
      </c>
      <c r="EZ18" s="24" t="str">
        <f t="shared" ref="EZ18:EZ19" si="103">IF(SUM($EQ$18:$EQ$19)&gt;=$EO$7, ($EQ18-ER18-ET18-EV18-EX18)*$ER$7, "0")</f>
        <v>0</v>
      </c>
      <c r="FA18" s="24" t="str">
        <f t="shared" ref="FA18:FA20" si="104">(IF($DF$15-$DH$15&gt;=$DK$15,"0", IF(SUM($DJ$17:$DJ$19,$DL$17:$DL$19,$DN$17:$DN$19,$DP$17:$DP$19,$DR$17:$DR$19)&gt;=$BG$15,0,EZ18)))</f>
        <v>0</v>
      </c>
      <c r="FB18" s="25">
        <f t="shared" ref="FB18:FB20" si="105">EQ18-ES18-EU18-EW18-EY18-FA18</f>
        <v>6000000</v>
      </c>
      <c r="FD18" s="19"/>
      <c r="FE18" s="2" t="s">
        <v>27</v>
      </c>
      <c r="FF18" s="2">
        <v>20.0</v>
      </c>
      <c r="FG18" s="9">
        <f>FH11</f>
        <v>200000</v>
      </c>
      <c r="FH18" s="9">
        <f t="shared" ref="FH18:FH20" si="106">FF18*FG18</f>
        <v>4000000</v>
      </c>
      <c r="FI18" s="24">
        <f t="shared" ref="FI18:FI20" si="107">IF(SUM($FH$18:$FH$20)&gt;=$FF$3, $FH18*$FI$3, "0")</f>
        <v>40000</v>
      </c>
      <c r="FJ18" s="24" t="str">
        <f t="shared" ref="FJ18:FJ20" si="108">(IF($DF$15-$DH$15&gt;=$DK$15,"0", IF(SUM($DJ$17:$DJ$19,$DL$17:$DL$19,$DN$17:$DN$19,$DP$17:$DP$19,$DR$17:$DR$19)&gt;=$BG$15,0,FI18)))</f>
        <v>0</v>
      </c>
      <c r="FK18" s="24">
        <f t="shared" ref="FK18:FK20" si="109">IF(SUM($FH$18:$FH$20)&gt;=$FF$4, ($FH18-FI18)*$FI$4, "0")</f>
        <v>79200</v>
      </c>
      <c r="FL18" s="24" t="str">
        <f t="shared" ref="FL18:FL20" si="110">(IF($DF$15-$DH$15&gt;=$DK$15,"0", IF(SUM($DJ$17:$DJ$19,$DL$17:$DL$19,$DN$17:$DN$19,$DP$17:$DP$19,$DR$17:$DR$19)&gt;=$BG$15,0,FK18)))</f>
        <v>0</v>
      </c>
      <c r="FM18" s="24" t="str">
        <f t="shared" ref="FM18:FM20" si="111">IF(SUM($FH$18:$FH$20)&gt;=$FF$5, ($FH18-FI18-FK18)*$FI$5, "0")</f>
        <v>0</v>
      </c>
      <c r="FN18" s="24" t="str">
        <f t="shared" ref="FN18:FN20" si="112">(IF($DF$15-$DH$15&gt;=$DK$15,"0", IF(SUM($DJ$17:$DJ$19,$DL$17:$DL$19,$DN$17:$DN$19,$DP$17:$DP$19,$DR$17:$DR$19)&gt;=$BG$15,0,FM18)))</f>
        <v>0</v>
      </c>
      <c r="FO18" s="24" t="str">
        <f t="shared" ref="FO18:FO20" si="113">IF(SUM($FH$18:$FH$20)&gt;=$FF$6, ($FH18-FI18-FK18-FM18)*$FI$6, "0")</f>
        <v>0</v>
      </c>
      <c r="FP18" s="24" t="str">
        <f t="shared" ref="FP18:FP20" si="114">(IF($DF$15-$DH$15&gt;=$DK$15,"0", IF(SUM($DJ$17:$DJ$19,$DL$17:$DL$19,$DN$17:$DN$19,$DP$17:$DP$19,$DR$17:$DR$19)&gt;=$BG$15,0,FO18)))</f>
        <v>0</v>
      </c>
      <c r="FQ18" s="24" t="str">
        <f t="shared" ref="FQ18:FQ20" si="115">IF(SUM($FH$18:$FH$20)&gt;=$FF$7, ($FH18-FK18-FM18-FO18)*$FI$7, "0")</f>
        <v>0</v>
      </c>
      <c r="FR18" s="24" t="str">
        <f t="shared" ref="FR18:FR20" si="116">(IF($DF$15-$DH$15&gt;=$DK$15,"0", IF(SUM($DJ$17:$DJ$19,$DL$17:$DL$19,$DN$17:$DN$19,$DP$17:$DP$19,$DR$17:$DR$19)&gt;=$BG$15,0,FQ18)))</f>
        <v>0</v>
      </c>
      <c r="FS18" s="25">
        <f t="shared" ref="FS18:FS20" si="117">FH18-FJ18-FL18-FN18-FP18-FR18</f>
        <v>4000000</v>
      </c>
      <c r="FU18" s="19"/>
      <c r="FV18" s="9"/>
      <c r="FW18" s="9"/>
      <c r="FX18" s="9"/>
      <c r="FY18" s="9"/>
      <c r="FZ18" s="9"/>
      <c r="GA18" s="9"/>
    </row>
    <row r="19">
      <c r="A19" s="23" t="s">
        <v>54</v>
      </c>
      <c r="B19" s="2">
        <v>30.0</v>
      </c>
      <c r="C19" s="9">
        <f>D13</f>
        <v>180000</v>
      </c>
      <c r="D19" s="9">
        <f t="shared" si="1"/>
        <v>5400000</v>
      </c>
      <c r="E19" s="24">
        <f t="shared" si="2"/>
        <v>54000</v>
      </c>
      <c r="F19" s="24">
        <f t="shared" si="3"/>
        <v>106920</v>
      </c>
      <c r="G19" s="24">
        <f t="shared" si="4"/>
        <v>157172.4</v>
      </c>
      <c r="H19" s="24">
        <f t="shared" si="5"/>
        <v>203276.304</v>
      </c>
      <c r="I19" s="24">
        <f t="shared" si="6"/>
        <v>243931.5648</v>
      </c>
      <c r="J19" s="25">
        <f t="shared" si="7"/>
        <v>4634699.731</v>
      </c>
      <c r="L19" s="9"/>
      <c r="M19" s="20" t="s">
        <v>54</v>
      </c>
      <c r="N19" s="2">
        <v>3.0</v>
      </c>
      <c r="O19" s="9">
        <f>P13</f>
        <v>180000</v>
      </c>
      <c r="P19" s="9">
        <f t="shared" si="8"/>
        <v>540000</v>
      </c>
      <c r="Q19" s="24" t="str">
        <f t="shared" si="9"/>
        <v>0</v>
      </c>
      <c r="R19" s="24" t="str">
        <f t="shared" si="10"/>
        <v>0</v>
      </c>
      <c r="S19" s="24" t="str">
        <f t="shared" si="11"/>
        <v>0</v>
      </c>
      <c r="T19" s="24" t="str">
        <f t="shared" si="12"/>
        <v>0</v>
      </c>
      <c r="U19" s="24" t="str">
        <f t="shared" si="13"/>
        <v>0</v>
      </c>
      <c r="V19" s="25">
        <f t="shared" si="14"/>
        <v>540000</v>
      </c>
      <c r="X19" s="9"/>
      <c r="Y19" s="20" t="s">
        <v>54</v>
      </c>
      <c r="Z19" s="2">
        <v>20.0</v>
      </c>
      <c r="AA19" s="9">
        <f>AB13</f>
        <v>180000</v>
      </c>
      <c r="AB19" s="9">
        <f t="shared" si="15"/>
        <v>3600000</v>
      </c>
      <c r="AC19" s="24">
        <f t="shared" si="16"/>
        <v>36000</v>
      </c>
      <c r="AD19" s="24">
        <f t="shared" si="17"/>
        <v>36000</v>
      </c>
      <c r="AE19" s="24">
        <f t="shared" si="18"/>
        <v>71280</v>
      </c>
      <c r="AF19" s="24">
        <f t="shared" si="19"/>
        <v>71280</v>
      </c>
      <c r="AG19" s="24">
        <f t="shared" si="20"/>
        <v>104781.6</v>
      </c>
      <c r="AH19" s="24">
        <f t="shared" si="21"/>
        <v>104781.6</v>
      </c>
      <c r="AI19" s="24" t="str">
        <f t="shared" si="22"/>
        <v>0</v>
      </c>
      <c r="AJ19" s="24" t="str">
        <f t="shared" si="23"/>
        <v>0</v>
      </c>
      <c r="AK19" s="24" t="str">
        <f t="shared" si="24"/>
        <v>0</v>
      </c>
      <c r="AL19" s="24" t="str">
        <f t="shared" si="25"/>
        <v>0</v>
      </c>
      <c r="AM19" s="25">
        <f t="shared" si="26"/>
        <v>3387938.4</v>
      </c>
      <c r="AO19" s="19"/>
      <c r="AP19" s="23" t="s">
        <v>54</v>
      </c>
      <c r="AQ19" s="2">
        <v>50.0</v>
      </c>
      <c r="AR19" s="9">
        <f>AS13</f>
        <v>180000</v>
      </c>
      <c r="AS19" s="9">
        <f t="shared" si="27"/>
        <v>9000000</v>
      </c>
      <c r="AT19" s="24">
        <f t="shared" si="28"/>
        <v>90000</v>
      </c>
      <c r="AU19" s="24">
        <f t="shared" si="29"/>
        <v>0</v>
      </c>
      <c r="AV19" s="24">
        <f t="shared" si="30"/>
        <v>178200</v>
      </c>
      <c r="AW19" s="24">
        <f t="shared" si="31"/>
        <v>0</v>
      </c>
      <c r="AX19" s="24">
        <f t="shared" si="32"/>
        <v>261954</v>
      </c>
      <c r="AY19" s="24">
        <f t="shared" si="33"/>
        <v>0</v>
      </c>
      <c r="AZ19" s="24">
        <f t="shared" si="34"/>
        <v>338793.84</v>
      </c>
      <c r="BA19" s="24">
        <f t="shared" si="35"/>
        <v>0</v>
      </c>
      <c r="BB19" s="24">
        <f t="shared" si="36"/>
        <v>406552.608</v>
      </c>
      <c r="BC19" s="24">
        <f t="shared" si="37"/>
        <v>0</v>
      </c>
      <c r="BD19" s="25">
        <f t="shared" si="38"/>
        <v>9000000</v>
      </c>
      <c r="BF19" s="19"/>
      <c r="BG19" s="20" t="s">
        <v>54</v>
      </c>
      <c r="BH19" s="2">
        <v>50.0</v>
      </c>
      <c r="BI19" s="9">
        <f>BJ13</f>
        <v>180000</v>
      </c>
      <c r="BJ19" s="9">
        <f t="shared" si="39"/>
        <v>9000000</v>
      </c>
      <c r="BK19" s="24">
        <f t="shared" si="40"/>
        <v>90000</v>
      </c>
      <c r="BL19" s="24">
        <f t="shared" si="41"/>
        <v>90000</v>
      </c>
      <c r="BM19" s="24">
        <f t="shared" si="42"/>
        <v>178200</v>
      </c>
      <c r="BN19" s="24">
        <f t="shared" si="43"/>
        <v>178200</v>
      </c>
      <c r="BO19" s="24">
        <f t="shared" si="44"/>
        <v>261954</v>
      </c>
      <c r="BP19" s="24">
        <f t="shared" si="45"/>
        <v>261954</v>
      </c>
      <c r="BQ19" s="24">
        <f t="shared" si="46"/>
        <v>338793.84</v>
      </c>
      <c r="BR19" s="24">
        <f t="shared" si="47"/>
        <v>338793.84</v>
      </c>
      <c r="BS19" s="24">
        <f t="shared" si="48"/>
        <v>406552.608</v>
      </c>
      <c r="BT19" s="24">
        <f t="shared" si="49"/>
        <v>406552.608</v>
      </c>
      <c r="BU19" s="25">
        <f t="shared" si="50"/>
        <v>7724499.552</v>
      </c>
      <c r="BW19" s="19"/>
      <c r="BX19" s="20" t="s">
        <v>54</v>
      </c>
      <c r="BY19" s="2">
        <v>25.0</v>
      </c>
      <c r="BZ19" s="9">
        <f>CA13</f>
        <v>180000</v>
      </c>
      <c r="CA19" s="9">
        <f t="shared" si="51"/>
        <v>4500000</v>
      </c>
      <c r="CB19" s="24">
        <f t="shared" si="52"/>
        <v>45000</v>
      </c>
      <c r="CC19" s="24">
        <f t="shared" si="53"/>
        <v>0</v>
      </c>
      <c r="CD19" s="24">
        <f t="shared" si="54"/>
        <v>89100</v>
      </c>
      <c r="CE19" s="24">
        <f t="shared" si="55"/>
        <v>0</v>
      </c>
      <c r="CF19" s="24" t="str">
        <f t="shared" si="56"/>
        <v>0</v>
      </c>
      <c r="CG19" s="24">
        <f t="shared" si="57"/>
        <v>0</v>
      </c>
      <c r="CH19" s="24" t="str">
        <f t="shared" si="58"/>
        <v>0</v>
      </c>
      <c r="CI19" s="24">
        <f t="shared" si="59"/>
        <v>0</v>
      </c>
      <c r="CJ19" s="24" t="str">
        <f t="shared" si="60"/>
        <v>0</v>
      </c>
      <c r="CK19" s="24">
        <f t="shared" si="61"/>
        <v>0</v>
      </c>
      <c r="CL19" s="25">
        <f t="shared" si="62"/>
        <v>4500000</v>
      </c>
      <c r="CN19" s="19"/>
      <c r="CO19" s="20" t="s">
        <v>54</v>
      </c>
      <c r="CP19" s="2">
        <v>50.0</v>
      </c>
      <c r="CQ19" s="9">
        <f>CR13</f>
        <v>180000</v>
      </c>
      <c r="CR19" s="9">
        <f t="shared" si="63"/>
        <v>9000000</v>
      </c>
      <c r="CS19" s="24">
        <f t="shared" si="64"/>
        <v>90000</v>
      </c>
      <c r="CT19" s="24">
        <f t="shared" si="65"/>
        <v>90000</v>
      </c>
      <c r="CU19" s="24">
        <f t="shared" si="66"/>
        <v>178200</v>
      </c>
      <c r="CV19" s="24">
        <f t="shared" si="67"/>
        <v>178200</v>
      </c>
      <c r="CW19" s="24">
        <f t="shared" si="68"/>
        <v>261954</v>
      </c>
      <c r="CX19" s="24">
        <f t="shared" si="69"/>
        <v>261954</v>
      </c>
      <c r="CY19" s="24">
        <f t="shared" si="70"/>
        <v>338793.84</v>
      </c>
      <c r="CZ19" s="24">
        <f t="shared" si="71"/>
        <v>338793.84</v>
      </c>
      <c r="DA19" s="24">
        <f t="shared" si="72"/>
        <v>406552.608</v>
      </c>
      <c r="DB19" s="24">
        <f t="shared" si="73"/>
        <v>406552.608</v>
      </c>
      <c r="DC19" s="25">
        <f t="shared" si="74"/>
        <v>7724499.552</v>
      </c>
      <c r="DE19" s="19"/>
      <c r="DF19" s="20" t="s">
        <v>54</v>
      </c>
      <c r="DG19" s="2">
        <v>50.0</v>
      </c>
      <c r="DH19" s="9">
        <f>DI13</f>
        <v>180000</v>
      </c>
      <c r="DI19" s="9">
        <f t="shared" si="75"/>
        <v>9000000</v>
      </c>
      <c r="DJ19" s="24">
        <f t="shared" si="76"/>
        <v>90000</v>
      </c>
      <c r="DK19" s="24" t="str">
        <f t="shared" si="77"/>
        <v>0</v>
      </c>
      <c r="DL19" s="24">
        <f t="shared" si="78"/>
        <v>178200</v>
      </c>
      <c r="DM19" s="24" t="str">
        <f t="shared" si="79"/>
        <v>0</v>
      </c>
      <c r="DN19" s="24">
        <f t="shared" si="80"/>
        <v>261954</v>
      </c>
      <c r="DO19" s="24" t="str">
        <f t="shared" si="81"/>
        <v>0</v>
      </c>
      <c r="DP19" s="24">
        <f t="shared" si="82"/>
        <v>338793.84</v>
      </c>
      <c r="DQ19" s="24" t="str">
        <f t="shared" si="83"/>
        <v>0</v>
      </c>
      <c r="DR19" s="24">
        <f t="shared" si="84"/>
        <v>406552.608</v>
      </c>
      <c r="DS19" s="24" t="str">
        <f t="shared" si="85"/>
        <v>0</v>
      </c>
      <c r="DT19" s="25">
        <f t="shared" si="86"/>
        <v>9000000</v>
      </c>
      <c r="DV19" s="19"/>
      <c r="DW19" s="2" t="s">
        <v>55</v>
      </c>
      <c r="DX19" s="2">
        <v>3.0</v>
      </c>
      <c r="DY19" s="9">
        <f>EA12</f>
        <v>300000</v>
      </c>
      <c r="DZ19" s="9">
        <f t="shared" si="87"/>
        <v>900000</v>
      </c>
      <c r="EA19" s="24"/>
      <c r="EB19" s="24" t="str">
        <f t="shared" si="88"/>
        <v>0</v>
      </c>
      <c r="EC19" s="24"/>
      <c r="ED19" s="24" t="str">
        <f t="shared" si="89"/>
        <v>0</v>
      </c>
      <c r="EE19" s="24"/>
      <c r="EF19" s="24" t="str">
        <f t="shared" si="90"/>
        <v>0</v>
      </c>
      <c r="EG19" s="24"/>
      <c r="EH19" s="24" t="str">
        <f t="shared" si="91"/>
        <v>0</v>
      </c>
      <c r="EI19" s="24"/>
      <c r="EJ19" s="24" t="str">
        <f t="shared" si="92"/>
        <v>0</v>
      </c>
      <c r="EK19" s="25">
        <f t="shared" si="93"/>
        <v>900000</v>
      </c>
      <c r="EM19" s="19"/>
      <c r="EN19" s="2" t="s">
        <v>54</v>
      </c>
      <c r="EO19" s="2">
        <v>30.0</v>
      </c>
      <c r="EP19" s="9">
        <f>ER12</f>
        <v>300000</v>
      </c>
      <c r="EQ19" s="9">
        <f t="shared" si="94"/>
        <v>9000000</v>
      </c>
      <c r="ER19" s="24">
        <f t="shared" si="95"/>
        <v>90000</v>
      </c>
      <c r="ES19" s="24" t="str">
        <f t="shared" si="96"/>
        <v>0</v>
      </c>
      <c r="ET19" s="24">
        <f t="shared" si="97"/>
        <v>178200</v>
      </c>
      <c r="EU19" s="24" t="str">
        <f t="shared" si="98"/>
        <v>0</v>
      </c>
      <c r="EV19" s="24">
        <f t="shared" si="99"/>
        <v>261954</v>
      </c>
      <c r="EW19" s="24" t="str">
        <f t="shared" si="100"/>
        <v>0</v>
      </c>
      <c r="EX19" s="24" t="str">
        <f t="shared" si="101"/>
        <v>0</v>
      </c>
      <c r="EY19" s="24" t="str">
        <f t="shared" si="102"/>
        <v>0</v>
      </c>
      <c r="EZ19" s="24" t="str">
        <f t="shared" si="103"/>
        <v>0</v>
      </c>
      <c r="FA19" s="24" t="str">
        <f t="shared" si="104"/>
        <v>0</v>
      </c>
      <c r="FB19" s="25">
        <f t="shared" si="105"/>
        <v>9000000</v>
      </c>
      <c r="FD19" s="19"/>
      <c r="FE19" s="2" t="s">
        <v>29</v>
      </c>
      <c r="FF19" s="2">
        <v>5.0</v>
      </c>
      <c r="FG19" s="9">
        <f>FI12</f>
        <v>300000</v>
      </c>
      <c r="FH19" s="9">
        <f t="shared" si="106"/>
        <v>1500000</v>
      </c>
      <c r="FI19" s="24">
        <f t="shared" si="107"/>
        <v>15000</v>
      </c>
      <c r="FJ19" s="24" t="str">
        <f t="shared" si="108"/>
        <v>0</v>
      </c>
      <c r="FK19" s="24">
        <f t="shared" si="109"/>
        <v>29700</v>
      </c>
      <c r="FL19" s="24" t="str">
        <f t="shared" si="110"/>
        <v>0</v>
      </c>
      <c r="FM19" s="24" t="str">
        <f t="shared" si="111"/>
        <v>0</v>
      </c>
      <c r="FN19" s="24" t="str">
        <f t="shared" si="112"/>
        <v>0</v>
      </c>
      <c r="FO19" s="24" t="str">
        <f t="shared" si="113"/>
        <v>0</v>
      </c>
      <c r="FP19" s="24" t="str">
        <f t="shared" si="114"/>
        <v>0</v>
      </c>
      <c r="FQ19" s="24" t="str">
        <f t="shared" si="115"/>
        <v>0</v>
      </c>
      <c r="FR19" s="24" t="str">
        <f t="shared" si="116"/>
        <v>0</v>
      </c>
      <c r="FS19" s="25">
        <f t="shared" si="117"/>
        <v>1500000</v>
      </c>
      <c r="FU19" s="19"/>
      <c r="FV19" s="9"/>
      <c r="FW19" s="9"/>
      <c r="FX19" s="9"/>
      <c r="FY19" s="9"/>
      <c r="FZ19" s="9"/>
      <c r="GA19" s="9"/>
    </row>
    <row r="20">
      <c r="H20" s="9"/>
      <c r="M20" s="20"/>
      <c r="T20" s="9"/>
      <c r="Y20" s="20"/>
      <c r="AB20" s="26"/>
      <c r="AC20" s="26"/>
      <c r="AD20" s="26"/>
      <c r="AE20" s="26"/>
      <c r="AF20" s="26"/>
      <c r="AG20" s="26"/>
      <c r="AH20" s="26"/>
      <c r="AI20" s="27"/>
      <c r="AJ20" s="27"/>
      <c r="AK20" s="26"/>
      <c r="AL20" s="26"/>
      <c r="AO20" s="4"/>
      <c r="AS20" s="26"/>
      <c r="AT20" s="26"/>
      <c r="AU20" s="26"/>
      <c r="AV20" s="26"/>
      <c r="AW20" s="26"/>
      <c r="AX20" s="26"/>
      <c r="AY20" s="26"/>
      <c r="AZ20" s="27"/>
      <c r="BA20" s="27"/>
      <c r="BB20" s="26"/>
      <c r="BC20" s="26"/>
      <c r="BF20" s="4"/>
      <c r="BG20" s="20"/>
      <c r="BJ20" s="26"/>
      <c r="BK20" s="26"/>
      <c r="BL20" s="26"/>
      <c r="BM20" s="26"/>
      <c r="BN20" s="26"/>
      <c r="BO20" s="26"/>
      <c r="BP20" s="26"/>
      <c r="BQ20" s="27"/>
      <c r="BR20" s="27"/>
      <c r="BS20" s="26"/>
      <c r="BT20" s="26"/>
      <c r="BW20" s="4"/>
      <c r="BX20" s="20"/>
      <c r="CA20" s="26"/>
      <c r="CB20" s="26"/>
      <c r="CC20" s="26"/>
      <c r="CD20" s="26"/>
      <c r="CE20" s="26"/>
      <c r="CF20" s="26"/>
      <c r="CG20" s="26"/>
      <c r="CH20" s="27"/>
      <c r="CI20" s="27"/>
      <c r="CJ20" s="26"/>
      <c r="CK20" s="26"/>
      <c r="CN20" s="4"/>
      <c r="CO20" s="20"/>
      <c r="CR20" s="26"/>
      <c r="CS20" s="26"/>
      <c r="CT20" s="26"/>
      <c r="CU20" s="26"/>
      <c r="CV20" s="26"/>
      <c r="CW20" s="26"/>
      <c r="CX20" s="26"/>
      <c r="CY20" s="27"/>
      <c r="CZ20" s="27"/>
      <c r="DA20" s="26"/>
      <c r="DB20" s="26"/>
      <c r="DE20" s="4"/>
      <c r="DF20" s="20"/>
      <c r="DI20" s="26"/>
      <c r="DJ20" s="26"/>
      <c r="DK20" s="26"/>
      <c r="DL20" s="26"/>
      <c r="DM20" s="26"/>
      <c r="DN20" s="26"/>
      <c r="DO20" s="26"/>
      <c r="DP20" s="27"/>
      <c r="DQ20" s="27"/>
      <c r="DR20" s="24"/>
      <c r="DS20" s="26"/>
      <c r="DV20" s="4"/>
      <c r="DW20" s="2" t="s">
        <v>56</v>
      </c>
      <c r="DX20" s="2">
        <v>1.0</v>
      </c>
      <c r="DY20" s="9">
        <v>180000.0</v>
      </c>
      <c r="DZ20" s="9">
        <f t="shared" si="87"/>
        <v>180000</v>
      </c>
      <c r="EA20" s="24"/>
      <c r="EB20" s="24" t="str">
        <f t="shared" si="88"/>
        <v>0</v>
      </c>
      <c r="EC20" s="24"/>
      <c r="ED20" s="24" t="str">
        <f t="shared" si="89"/>
        <v>0</v>
      </c>
      <c r="EE20" s="24"/>
      <c r="EF20" s="24" t="str">
        <f t="shared" si="90"/>
        <v>0</v>
      </c>
      <c r="EG20" s="24"/>
      <c r="EH20" s="24" t="str">
        <f t="shared" si="91"/>
        <v>0</v>
      </c>
      <c r="EI20" s="24"/>
      <c r="EJ20" s="24" t="str">
        <f t="shared" si="92"/>
        <v>0</v>
      </c>
      <c r="EK20" s="25">
        <f t="shared" si="93"/>
        <v>180000</v>
      </c>
      <c r="EM20" s="4"/>
      <c r="EN20" s="2" t="s">
        <v>55</v>
      </c>
      <c r="EO20" s="2">
        <v>20.0</v>
      </c>
      <c r="EP20" s="9">
        <v>180000.0</v>
      </c>
      <c r="EQ20" s="9">
        <f t="shared" si="94"/>
        <v>3600000</v>
      </c>
      <c r="ER20" s="24"/>
      <c r="ES20" s="24" t="str">
        <f t="shared" si="96"/>
        <v>0</v>
      </c>
      <c r="ET20" s="24"/>
      <c r="EU20" s="24" t="str">
        <f t="shared" si="98"/>
        <v>0</v>
      </c>
      <c r="EV20" s="24"/>
      <c r="EW20" s="24" t="str">
        <f t="shared" si="100"/>
        <v>0</v>
      </c>
      <c r="EX20" s="24"/>
      <c r="EY20" s="24" t="str">
        <f t="shared" si="102"/>
        <v>0</v>
      </c>
      <c r="EZ20" s="24"/>
      <c r="FA20" s="24" t="str">
        <f t="shared" si="104"/>
        <v>0</v>
      </c>
      <c r="FB20" s="25">
        <f t="shared" si="105"/>
        <v>3600000</v>
      </c>
      <c r="FD20" s="4"/>
      <c r="FE20" s="2" t="s">
        <v>54</v>
      </c>
      <c r="FF20" s="2">
        <v>5.0</v>
      </c>
      <c r="FG20" s="9">
        <v>180000.0</v>
      </c>
      <c r="FH20" s="9">
        <f t="shared" si="106"/>
        <v>900000</v>
      </c>
      <c r="FI20" s="24">
        <f t="shared" si="107"/>
        <v>9000</v>
      </c>
      <c r="FJ20" s="24" t="str">
        <f t="shared" si="108"/>
        <v>0</v>
      </c>
      <c r="FK20" s="24">
        <f t="shared" si="109"/>
        <v>17820</v>
      </c>
      <c r="FL20" s="24" t="str">
        <f t="shared" si="110"/>
        <v>0</v>
      </c>
      <c r="FM20" s="24" t="str">
        <f t="shared" si="111"/>
        <v>0</v>
      </c>
      <c r="FN20" s="24" t="str">
        <f t="shared" si="112"/>
        <v>0</v>
      </c>
      <c r="FO20" s="24" t="str">
        <f t="shared" si="113"/>
        <v>0</v>
      </c>
      <c r="FP20" s="24" t="str">
        <f t="shared" si="114"/>
        <v>0</v>
      </c>
      <c r="FQ20" s="24" t="str">
        <f t="shared" si="115"/>
        <v>0</v>
      </c>
      <c r="FR20" s="24" t="str">
        <f t="shared" si="116"/>
        <v>0</v>
      </c>
      <c r="FS20" s="25">
        <f t="shared" si="117"/>
        <v>900000</v>
      </c>
      <c r="FU20" s="4"/>
    </row>
    <row r="21">
      <c r="H21" s="9"/>
      <c r="J21" s="2" t="s">
        <v>57</v>
      </c>
      <c r="K21" s="25">
        <f>SUM(D17:D19)</f>
        <v>20400000</v>
      </c>
      <c r="M21" s="20"/>
      <c r="T21" s="9"/>
      <c r="V21" s="2" t="s">
        <v>57</v>
      </c>
      <c r="W21" s="25">
        <f>SUM(P17:P19)</f>
        <v>2040000</v>
      </c>
      <c r="Y21" s="20"/>
      <c r="AI21" s="9"/>
      <c r="AJ21" s="9"/>
      <c r="AM21" s="2" t="s">
        <v>57</v>
      </c>
      <c r="AN21" s="25">
        <f>SUM(AB17:AB19)</f>
        <v>12600000</v>
      </c>
      <c r="AO21" s="4"/>
      <c r="AZ21" s="9"/>
      <c r="BA21" s="9"/>
      <c r="BD21" s="2" t="s">
        <v>57</v>
      </c>
      <c r="BE21" s="25">
        <f>SUM(AS17:AS19)</f>
        <v>30000000</v>
      </c>
      <c r="BF21" s="4"/>
      <c r="BG21" s="20"/>
      <c r="BQ21" s="9"/>
      <c r="BR21" s="9"/>
      <c r="BU21" s="2" t="s">
        <v>57</v>
      </c>
      <c r="BV21" s="25">
        <f>SUM(BJ17:BJ19)</f>
        <v>24000000</v>
      </c>
      <c r="BW21" s="4"/>
      <c r="BX21" s="20"/>
      <c r="CH21" s="9"/>
      <c r="CI21" s="9"/>
      <c r="CL21" s="2" t="s">
        <v>57</v>
      </c>
      <c r="CM21" s="25">
        <f>SUM(CA17:CA19)</f>
        <v>9500000</v>
      </c>
      <c r="CN21" s="4"/>
      <c r="CO21" s="20"/>
      <c r="CY21" s="9"/>
      <c r="CZ21" s="9"/>
      <c r="DC21" s="2" t="s">
        <v>57</v>
      </c>
      <c r="DD21" s="25">
        <f>SUM(CR17:CR19)</f>
        <v>24000000</v>
      </c>
      <c r="DE21" s="4"/>
      <c r="DF21" s="20"/>
      <c r="DP21" s="9"/>
      <c r="DQ21" s="9"/>
      <c r="DT21" s="2" t="s">
        <v>57</v>
      </c>
      <c r="DU21" s="25">
        <f>SUM(DI17:DI19)</f>
        <v>24000000</v>
      </c>
      <c r="DV21" s="4"/>
      <c r="EG21" s="9"/>
      <c r="EH21" s="9"/>
      <c r="EM21" s="4"/>
      <c r="EX21" s="9"/>
      <c r="EY21" s="9"/>
      <c r="FD21" s="4"/>
      <c r="FO21" s="9"/>
      <c r="FP21" s="9"/>
      <c r="FU21" s="4"/>
    </row>
    <row r="22">
      <c r="H22" s="9"/>
      <c r="J22" s="2" t="s">
        <v>58</v>
      </c>
      <c r="K22" s="25">
        <f>SUM(E17:I19)</f>
        <v>2891134.349</v>
      </c>
      <c r="M22" s="20"/>
      <c r="T22" s="9"/>
      <c r="V22" s="2" t="s">
        <v>58</v>
      </c>
      <c r="W22" s="25">
        <f>SUM(Q17:U19)</f>
        <v>0</v>
      </c>
      <c r="Y22" s="20"/>
      <c r="AC22" s="26"/>
      <c r="AI22" s="9"/>
      <c r="AJ22" s="9"/>
      <c r="AM22" s="2" t="s">
        <v>58</v>
      </c>
      <c r="AN22" s="25">
        <f>(SUM(SUM(AD17:AD19),(AF17:AF19),(AH17:AH19),(AJ17:AJ19),(AL17:AL19)))</f>
        <v>742215.6</v>
      </c>
      <c r="AO22" s="4"/>
      <c r="AT22" s="26"/>
      <c r="AZ22" s="9"/>
      <c r="BA22" s="9"/>
      <c r="BD22" s="2" t="s">
        <v>58</v>
      </c>
      <c r="BE22" s="25">
        <f>(SUM(SUM(AU17:AU19),(AW17:AW19),(AY17:AY19),(BA17:BA19),(BC17:BC19)))</f>
        <v>0</v>
      </c>
      <c r="BF22" s="4"/>
      <c r="BG22" s="20"/>
      <c r="BK22" s="26"/>
      <c r="BQ22" s="9"/>
      <c r="BR22" s="9"/>
      <c r="BU22" s="2" t="s">
        <v>58</v>
      </c>
      <c r="BV22" s="25">
        <f>(SUM(SUM(BL17:BL19),(BN17:BN19),(BP17:BP19),(BR17:BR19),(BT17:BT19)))</f>
        <v>3401334.528</v>
      </c>
      <c r="BW22" s="4"/>
      <c r="BX22" s="20"/>
      <c r="CB22" s="26"/>
      <c r="CH22" s="9"/>
      <c r="CI22" s="9"/>
      <c r="CL22" s="2" t="s">
        <v>58</v>
      </c>
      <c r="CM22" s="25">
        <f>(SUM(SUM(CC17:CC19),(CE17:CE19),(CG17:CG19),(CI17:CI19),(CK17:CK19)))</f>
        <v>0</v>
      </c>
      <c r="CN22" s="4"/>
      <c r="CO22" s="20"/>
      <c r="CS22" s="26"/>
      <c r="CY22" s="9"/>
      <c r="CZ22" s="9"/>
      <c r="DC22" s="2" t="s">
        <v>58</v>
      </c>
      <c r="DD22" s="25">
        <f>(SUM(SUM(CT17:CT19),(CV17:CV19),(CX17:CX19),(CZ17:CZ19),(DB17:DB19)))</f>
        <v>3401334.528</v>
      </c>
      <c r="DE22" s="4"/>
      <c r="DF22" s="20"/>
      <c r="DJ22" s="26"/>
      <c r="DP22" s="9"/>
      <c r="DQ22" s="9"/>
      <c r="DT22" s="2" t="s">
        <v>58</v>
      </c>
      <c r="DU22" s="25">
        <f>(SUM(SUM(DK17:DK19),(DM17:DM19),(DO17:DO19),(DQ17:DQ19),(DS17:DS19)))</f>
        <v>0</v>
      </c>
      <c r="DV22" s="4"/>
      <c r="DW22" s="2" t="s">
        <v>59</v>
      </c>
      <c r="EB22" s="2"/>
      <c r="ED22" s="9"/>
      <c r="EG22" s="9"/>
      <c r="EH22" s="9"/>
      <c r="EK22" s="2" t="s">
        <v>57</v>
      </c>
      <c r="EL22" s="25">
        <f>SUM(DZ18:DZ20)</f>
        <v>11080000</v>
      </c>
      <c r="EM22" s="4"/>
      <c r="EN22" s="2" t="s">
        <v>60</v>
      </c>
      <c r="ES22" s="2"/>
      <c r="EU22" s="9"/>
      <c r="EX22" s="9"/>
      <c r="EY22" s="9"/>
      <c r="FB22" s="2" t="s">
        <v>57</v>
      </c>
      <c r="FC22" s="25">
        <f>SUM(EQ18:EQ20)</f>
        <v>18600000</v>
      </c>
      <c r="FD22" s="4"/>
      <c r="FE22" s="2" t="s">
        <v>61</v>
      </c>
      <c r="FJ22" s="2"/>
      <c r="FL22" s="9"/>
      <c r="FO22" s="9"/>
      <c r="FP22" s="9"/>
      <c r="FS22" s="2" t="s">
        <v>57</v>
      </c>
      <c r="FT22" s="25">
        <f>SUM(FH18:FH20)</f>
        <v>6400000</v>
      </c>
      <c r="FU22" s="4"/>
    </row>
    <row r="23">
      <c r="H23" s="9"/>
      <c r="J23" s="2" t="s">
        <v>62</v>
      </c>
      <c r="K23" s="25">
        <f>(J17*0.11)+(J18*0.11)+(J19*0.11)</f>
        <v>1925975.222</v>
      </c>
      <c r="M23" s="20"/>
      <c r="T23" s="9"/>
      <c r="V23" s="2" t="s">
        <v>62</v>
      </c>
      <c r="W23" s="25">
        <f>(V17*0.11)+(V18*0.11)+(V19*0.11)</f>
        <v>224400</v>
      </c>
      <c r="Y23" s="20"/>
      <c r="AI23" s="9"/>
      <c r="AJ23" s="9"/>
      <c r="AM23" s="2" t="s">
        <v>62</v>
      </c>
      <c r="AN23" s="25">
        <f>(AM17*0.11)+(AM18*0.11)+(AM19*0.11)</f>
        <v>1304356.284</v>
      </c>
      <c r="AO23" s="4"/>
      <c r="AZ23" s="9"/>
      <c r="BA23" s="9"/>
      <c r="BD23" s="2" t="s">
        <v>62</v>
      </c>
      <c r="BE23" s="25">
        <f>(BD17*0.11)+(BD18*0.11)+(BD19*0.11)</f>
        <v>3300000</v>
      </c>
      <c r="BF23" s="4"/>
      <c r="BG23" s="20"/>
      <c r="BQ23" s="9"/>
      <c r="BR23" s="9"/>
      <c r="BU23" s="2" t="s">
        <v>62</v>
      </c>
      <c r="BV23" s="25">
        <f>(BU17*0.11)+(BU18*0.11)+(BU19*0.11)</f>
        <v>2265853.202</v>
      </c>
      <c r="BW23" s="4"/>
      <c r="BX23" s="20"/>
      <c r="CH23" s="9"/>
      <c r="CI23" s="9"/>
      <c r="CL23" s="2" t="s">
        <v>62</v>
      </c>
      <c r="CM23" s="25">
        <f>(CL17*0.11)+(CL18*0.11)+(CL19*0.11)</f>
        <v>1045000</v>
      </c>
      <c r="CN23" s="4"/>
      <c r="CO23" s="20"/>
      <c r="CY23" s="9"/>
      <c r="CZ23" s="9"/>
      <c r="DC23" s="2" t="s">
        <v>62</v>
      </c>
      <c r="DD23" s="25">
        <f>(DC17*0.11)+(DC18*0.11)+(DC19*0.11)</f>
        <v>2265853.202</v>
      </c>
      <c r="DE23" s="4"/>
      <c r="DF23" s="20"/>
      <c r="DP23" s="9"/>
      <c r="DQ23" s="9"/>
      <c r="DT23" s="2" t="s">
        <v>62</v>
      </c>
      <c r="DU23" s="25">
        <f>(DT17*0.11)+(DT18*0.11)+(DT19*0.11)</f>
        <v>2640000</v>
      </c>
      <c r="DV23" s="4"/>
      <c r="EB23" s="2"/>
      <c r="ED23" s="9"/>
      <c r="EG23" s="9"/>
      <c r="EH23" s="9"/>
      <c r="EK23" s="2" t="s">
        <v>58</v>
      </c>
      <c r="EL23" s="25">
        <f>(SUM(SUM(EB18:EB20),(ED18:ED20),(EF18:EF20),(EH18:EH20),(EJ18:EJ20)))</f>
        <v>0</v>
      </c>
      <c r="EM23" s="4"/>
      <c r="ES23" s="2"/>
      <c r="EU23" s="9"/>
      <c r="EX23" s="9"/>
      <c r="EY23" s="9"/>
      <c r="FB23" s="2" t="s">
        <v>58</v>
      </c>
      <c r="FC23" s="25">
        <f>(SUM(SUM(ES18:ES20),(EU18:EU20),(EW18:EW20),(EY18:EY20),(FA18:FA20)))</f>
        <v>0</v>
      </c>
      <c r="FD23" s="4"/>
      <c r="FJ23" s="2"/>
      <c r="FL23" s="9"/>
      <c r="FO23" s="9"/>
      <c r="FP23" s="9"/>
      <c r="FS23" s="2" t="s">
        <v>58</v>
      </c>
      <c r="FT23" s="25">
        <f>(SUM(SUM(FJ18:FJ20),(FL18:FL20),(FN18:FN20),(FP18:FP20),(FR18:FR20)))</f>
        <v>0</v>
      </c>
      <c r="FU23" s="4"/>
    </row>
    <row r="24">
      <c r="J24" s="2" t="s">
        <v>63</v>
      </c>
      <c r="K24" s="25">
        <f>K21-K22+K23</f>
        <v>19434840.87</v>
      </c>
      <c r="M24" s="20"/>
      <c r="V24" s="2" t="s">
        <v>63</v>
      </c>
      <c r="W24" s="25">
        <f>W21-W22+W23</f>
        <v>2264400</v>
      </c>
      <c r="Y24" s="20"/>
      <c r="AM24" s="2" t="s">
        <v>63</v>
      </c>
      <c r="AN24" s="25">
        <f>AN21-AN22+AN23</f>
        <v>13162140.68</v>
      </c>
      <c r="AO24" s="4"/>
      <c r="BD24" s="2" t="s">
        <v>63</v>
      </c>
      <c r="BE24" s="25">
        <f>BE21-BE22+BE23</f>
        <v>33300000</v>
      </c>
      <c r="BF24" s="4"/>
      <c r="BG24" s="20"/>
      <c r="BU24" s="2" t="s">
        <v>63</v>
      </c>
      <c r="BV24" s="25">
        <f>BV21-BV22+BV23</f>
        <v>22864518.67</v>
      </c>
      <c r="BW24" s="4"/>
      <c r="BX24" s="20"/>
      <c r="CL24" s="2" t="s">
        <v>63</v>
      </c>
      <c r="CM24" s="25">
        <f>CM21-CM22+CM23</f>
        <v>10545000</v>
      </c>
      <c r="CN24" s="4"/>
      <c r="CO24" s="20"/>
      <c r="DC24" s="2" t="s">
        <v>63</v>
      </c>
      <c r="DD24" s="25">
        <f>DD21-DD22+DD23</f>
        <v>22864518.67</v>
      </c>
      <c r="DE24" s="4"/>
      <c r="DF24" s="20"/>
      <c r="DT24" s="2" t="s">
        <v>63</v>
      </c>
      <c r="DU24" s="25">
        <f>DU21-DU22+DU23</f>
        <v>26640000</v>
      </c>
      <c r="DV24" s="4"/>
      <c r="DW24" s="20"/>
      <c r="EK24" s="2" t="s">
        <v>62</v>
      </c>
      <c r="EL24" s="25">
        <f>(EK18*0.11)+(EK19*0.11)+(EK20*0.11)</f>
        <v>1218800</v>
      </c>
      <c r="EM24" s="4"/>
      <c r="EN24" s="20"/>
      <c r="FB24" s="2" t="s">
        <v>62</v>
      </c>
      <c r="FC24" s="25">
        <f>(FB18*0.11)+(FB19*0.11)+(FB20*0.11)</f>
        <v>2046000</v>
      </c>
      <c r="FD24" s="4"/>
      <c r="FE24" s="20"/>
      <c r="FS24" s="2" t="s">
        <v>62</v>
      </c>
      <c r="FT24" s="25">
        <f>(FS18*0.11)+(FS19*0.11)+(FS20*0.11)</f>
        <v>704000</v>
      </c>
      <c r="FU24" s="4"/>
    </row>
    <row r="25">
      <c r="H25" s="9"/>
      <c r="I25" s="28"/>
      <c r="J25" s="29"/>
      <c r="M25" s="20"/>
      <c r="R25" s="28"/>
      <c r="T25" s="9"/>
      <c r="V25" s="2"/>
      <c r="Y25" s="20"/>
      <c r="AA25" s="28"/>
      <c r="AE25" s="28"/>
      <c r="AI25" s="9"/>
      <c r="AJ25" s="9"/>
      <c r="AM25" s="2"/>
      <c r="AN25" s="28"/>
      <c r="AO25" s="30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31"/>
      <c r="BA25" s="31"/>
      <c r="BB25" s="28"/>
      <c r="BC25" s="28"/>
      <c r="BD25" s="29"/>
      <c r="BE25" s="28"/>
      <c r="BF25" s="30"/>
      <c r="BG25" s="32"/>
      <c r="BH25" s="28"/>
      <c r="BI25" s="28"/>
      <c r="BJ25" s="28"/>
      <c r="BK25" s="28"/>
      <c r="BL25" s="28"/>
      <c r="BM25" s="28"/>
      <c r="BN25" s="28"/>
      <c r="BO25" s="28"/>
      <c r="BP25" s="28"/>
      <c r="BQ25" s="31"/>
      <c r="BR25" s="31"/>
      <c r="BS25" s="28"/>
      <c r="BT25" s="28"/>
      <c r="BU25" s="29"/>
      <c r="BV25" s="28"/>
      <c r="BW25" s="30"/>
      <c r="BX25" s="32"/>
      <c r="BY25" s="28"/>
      <c r="BZ25" s="28"/>
      <c r="CA25" s="28"/>
      <c r="CB25" s="28"/>
      <c r="CC25" s="28"/>
      <c r="CD25" s="28"/>
      <c r="CE25" s="28"/>
      <c r="CF25" s="28"/>
      <c r="CG25" s="28"/>
      <c r="CH25" s="31"/>
      <c r="CI25" s="31"/>
      <c r="CJ25" s="28"/>
      <c r="CK25" s="28"/>
      <c r="CL25" s="29"/>
      <c r="CM25" s="28"/>
      <c r="CN25" s="30"/>
      <c r="CO25" s="32"/>
      <c r="CP25" s="28"/>
      <c r="CQ25" s="28"/>
      <c r="CR25" s="28"/>
      <c r="CS25" s="28"/>
      <c r="CT25" s="28"/>
      <c r="CU25" s="28"/>
      <c r="CV25" s="28"/>
      <c r="CW25" s="28"/>
      <c r="CX25" s="28"/>
      <c r="CY25" s="31"/>
      <c r="CZ25" s="31"/>
      <c r="DA25" s="28"/>
      <c r="DB25" s="28"/>
      <c r="DC25" s="29"/>
      <c r="DD25" s="28"/>
      <c r="DE25" s="30"/>
      <c r="DF25" s="32"/>
      <c r="DG25" s="28"/>
      <c r="DH25" s="28"/>
      <c r="DI25" s="28"/>
      <c r="DJ25" s="28"/>
      <c r="DK25" s="28"/>
      <c r="DL25" s="28"/>
      <c r="DM25" s="28"/>
      <c r="DN25" s="28"/>
      <c r="DO25" s="28"/>
      <c r="DP25" s="31"/>
      <c r="DQ25" s="31"/>
      <c r="DR25" s="28"/>
      <c r="DS25" s="28"/>
      <c r="DT25" s="29"/>
      <c r="DU25" s="28"/>
      <c r="DV25" s="30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9" t="s">
        <v>63</v>
      </c>
      <c r="EL25" s="33">
        <f>EL22-EL23+EL24</f>
        <v>12298800</v>
      </c>
      <c r="EM25" s="30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9" t="s">
        <v>63</v>
      </c>
      <c r="FC25" s="33">
        <f>FC22-FC23+FC24</f>
        <v>20646000</v>
      </c>
      <c r="FD25" s="30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  <c r="FS25" s="29" t="s">
        <v>63</v>
      </c>
      <c r="FT25" s="33">
        <f>FT22-FT23+FT24</f>
        <v>7104000</v>
      </c>
      <c r="FU25" s="30"/>
    </row>
    <row r="26">
      <c r="A26" s="34"/>
      <c r="B26" s="34"/>
      <c r="C26" s="34"/>
      <c r="D26" s="34"/>
      <c r="E26" s="34"/>
      <c r="F26" s="34"/>
      <c r="G26" s="34"/>
      <c r="H26" s="34"/>
      <c r="J26" s="34"/>
      <c r="K26" s="34"/>
      <c r="L26" s="34"/>
      <c r="M26" s="34"/>
      <c r="N26" s="34"/>
      <c r="O26" s="34"/>
      <c r="P26" s="34"/>
      <c r="Q26" s="34"/>
      <c r="S26" s="34"/>
      <c r="T26" s="34"/>
      <c r="U26" s="34"/>
      <c r="V26" s="34"/>
      <c r="W26" s="34"/>
      <c r="X26" s="34"/>
      <c r="Y26" s="34"/>
      <c r="Z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9" max="9" width="8.75"/>
    <col customWidth="1" min="10" max="10" width="11.0"/>
    <col customWidth="1" min="11" max="11" width="13.13"/>
    <col customWidth="1" min="12" max="12" width="10.88"/>
    <col customWidth="1" min="13" max="13" width="12.13"/>
    <col customWidth="1" min="14" max="14" width="11.75"/>
    <col customWidth="1" min="15" max="15" width="8.75"/>
    <col customWidth="1" min="16" max="16" width="11.0"/>
    <col customWidth="1" min="17" max="18" width="8.75"/>
    <col customWidth="1" min="19" max="19" width="7.25"/>
    <col customWidth="1" min="26" max="26" width="14.5"/>
    <col customWidth="1" min="27" max="27" width="11.63"/>
    <col customWidth="1" min="28" max="28" width="25.13"/>
    <col customWidth="1" min="41" max="41" width="9.0"/>
    <col customWidth="1" min="42" max="42" width="18.25"/>
    <col customWidth="1" min="43" max="43" width="9.5"/>
    <col customWidth="1" min="44" max="44" width="10.25"/>
    <col customWidth="1" min="45" max="45" width="11.75"/>
    <col customWidth="1" min="46" max="46" width="13.13"/>
    <col customWidth="1" min="47" max="47" width="9.0"/>
    <col customWidth="1" min="48" max="48" width="13.13"/>
    <col customWidth="1" min="49" max="49" width="9.0"/>
    <col customWidth="1" min="50" max="50" width="13.13"/>
    <col customWidth="1" min="51" max="51" width="8.5"/>
    <col customWidth="1" min="52" max="52" width="13.13"/>
    <col customWidth="1" min="60" max="60" width="14.5"/>
  </cols>
  <sheetData>
    <row r="1">
      <c r="A1" s="1" t="s">
        <v>0</v>
      </c>
      <c r="B1" s="2" t="s">
        <v>1</v>
      </c>
      <c r="J1" s="1"/>
      <c r="M1" s="3" t="s">
        <v>2</v>
      </c>
      <c r="N1" s="2" t="s">
        <v>3</v>
      </c>
      <c r="V1" s="1"/>
      <c r="Y1" s="3" t="s">
        <v>0</v>
      </c>
      <c r="Z1" s="2" t="s">
        <v>5</v>
      </c>
      <c r="AM1" s="1"/>
      <c r="AO1" s="4"/>
      <c r="AP1" s="1" t="s">
        <v>2</v>
      </c>
      <c r="AQ1" s="2" t="s">
        <v>5</v>
      </c>
      <c r="BD1" s="1"/>
      <c r="BF1" s="4"/>
      <c r="BG1" s="3" t="s">
        <v>0</v>
      </c>
      <c r="BH1" s="2" t="s">
        <v>6</v>
      </c>
      <c r="BU1" s="1"/>
      <c r="BW1" s="4"/>
      <c r="BX1" s="3" t="s">
        <v>2</v>
      </c>
      <c r="BY1" s="2" t="s">
        <v>7</v>
      </c>
      <c r="CL1" s="1"/>
      <c r="CN1" s="4"/>
      <c r="CO1" s="3" t="s">
        <v>0</v>
      </c>
      <c r="CP1" s="2" t="s">
        <v>8</v>
      </c>
      <c r="DC1" s="1"/>
      <c r="DE1" s="4"/>
      <c r="DF1" s="1" t="s">
        <v>9</v>
      </c>
      <c r="DG1" s="2" t="s">
        <v>10</v>
      </c>
      <c r="DT1" s="1"/>
      <c r="DV1" s="4"/>
      <c r="DW1" s="3" t="s">
        <v>2</v>
      </c>
      <c r="DX1" s="2" t="s">
        <v>11</v>
      </c>
      <c r="EM1" s="4"/>
      <c r="EN1" s="3" t="s">
        <v>2</v>
      </c>
      <c r="EO1" s="2" t="s">
        <v>12</v>
      </c>
      <c r="FD1" s="4"/>
      <c r="FE1" s="3" t="s">
        <v>2</v>
      </c>
      <c r="FF1" s="2" t="s">
        <v>12</v>
      </c>
      <c r="FU1" s="4"/>
    </row>
    <row r="2">
      <c r="A2" s="1" t="s">
        <v>13</v>
      </c>
      <c r="E2" s="1" t="s">
        <v>14</v>
      </c>
      <c r="J2" s="1"/>
      <c r="M2" s="3" t="s">
        <v>13</v>
      </c>
      <c r="Q2" s="1" t="s">
        <v>14</v>
      </c>
      <c r="V2" s="1"/>
      <c r="Y2" s="3" t="s">
        <v>13</v>
      </c>
      <c r="AC2" s="1" t="s">
        <v>14</v>
      </c>
      <c r="AM2" s="1"/>
      <c r="AO2" s="4"/>
      <c r="AP2" s="3" t="s">
        <v>13</v>
      </c>
      <c r="AT2" s="1" t="s">
        <v>14</v>
      </c>
      <c r="BD2" s="1"/>
      <c r="BF2" s="4"/>
      <c r="BG2" s="3" t="s">
        <v>13</v>
      </c>
      <c r="BK2" s="1" t="s">
        <v>14</v>
      </c>
      <c r="BU2" s="1"/>
      <c r="BW2" s="4"/>
      <c r="BX2" s="3" t="s">
        <v>13</v>
      </c>
      <c r="CB2" s="1" t="s">
        <v>14</v>
      </c>
      <c r="CL2" s="1"/>
      <c r="CN2" s="4"/>
      <c r="CO2" s="3" t="s">
        <v>13</v>
      </c>
      <c r="CS2" s="1" t="s">
        <v>14</v>
      </c>
      <c r="DC2" s="1"/>
      <c r="DE2" s="4"/>
      <c r="DF2" s="3" t="s">
        <v>13</v>
      </c>
      <c r="DJ2" s="1" t="s">
        <v>14</v>
      </c>
      <c r="DT2" s="1"/>
      <c r="DV2" s="4"/>
      <c r="DW2" s="3" t="s">
        <v>13</v>
      </c>
      <c r="EA2" s="1" t="s">
        <v>14</v>
      </c>
      <c r="EM2" s="4"/>
      <c r="EN2" s="3" t="s">
        <v>13</v>
      </c>
      <c r="ER2" s="1" t="s">
        <v>14</v>
      </c>
      <c r="FD2" s="4"/>
      <c r="FE2" s="3" t="s">
        <v>13</v>
      </c>
      <c r="FI2" s="1" t="s">
        <v>14</v>
      </c>
      <c r="FU2" s="4"/>
    </row>
    <row r="3">
      <c r="A3" s="5" t="s">
        <v>15</v>
      </c>
      <c r="B3" s="5">
        <v>3000000.0</v>
      </c>
      <c r="C3" s="5">
        <v>5000000.0</v>
      </c>
      <c r="D3" s="5"/>
      <c r="E3" s="5">
        <v>2000.0</v>
      </c>
      <c r="F3" s="7"/>
      <c r="G3" s="5"/>
      <c r="H3" s="8"/>
      <c r="J3" s="9"/>
      <c r="K3" s="9"/>
      <c r="L3" s="10"/>
      <c r="M3" s="11" t="s">
        <v>15</v>
      </c>
      <c r="N3" s="5">
        <v>3000000.0</v>
      </c>
      <c r="O3" s="5">
        <v>5000000.0</v>
      </c>
      <c r="P3" s="5"/>
      <c r="Q3" s="5">
        <v>2000.0</v>
      </c>
      <c r="R3" s="7"/>
      <c r="S3" s="8"/>
      <c r="T3" s="8"/>
      <c r="V3" s="9"/>
      <c r="W3" s="9"/>
      <c r="X3" s="10"/>
      <c r="Y3" s="11" t="s">
        <v>15</v>
      </c>
      <c r="Z3" s="5">
        <v>3000000.0</v>
      </c>
      <c r="AA3" s="5">
        <v>5000000.0</v>
      </c>
      <c r="AB3" s="5"/>
      <c r="AC3" s="5">
        <v>2000.0</v>
      </c>
      <c r="AD3" s="7"/>
      <c r="AE3" s="7"/>
      <c r="AF3" s="8"/>
      <c r="AG3" s="8"/>
      <c r="AH3" s="8"/>
      <c r="AI3" s="8"/>
      <c r="AJ3" s="8"/>
      <c r="AM3" s="9"/>
      <c r="AN3" s="9"/>
      <c r="AO3" s="12"/>
      <c r="AP3" s="11" t="s">
        <v>15</v>
      </c>
      <c r="AQ3" s="5">
        <v>3000000.0</v>
      </c>
      <c r="AR3" s="5">
        <v>5000000.0</v>
      </c>
      <c r="AS3" s="5"/>
      <c r="AT3" s="5">
        <v>2000.0</v>
      </c>
      <c r="AU3" s="7"/>
      <c r="AV3" s="7"/>
      <c r="AW3" s="8"/>
      <c r="AX3" s="8"/>
      <c r="AY3" s="8"/>
      <c r="AZ3" s="8"/>
      <c r="BA3" s="8"/>
      <c r="BD3" s="9"/>
      <c r="BE3" s="9"/>
      <c r="BF3" s="12"/>
      <c r="BG3" s="11" t="s">
        <v>15</v>
      </c>
      <c r="BH3" s="5">
        <v>3000000.0</v>
      </c>
      <c r="BI3" s="5">
        <v>5000000.0</v>
      </c>
      <c r="BJ3" s="5"/>
      <c r="BK3" s="5">
        <v>2000.0</v>
      </c>
      <c r="BL3" s="7"/>
      <c r="BM3" s="7"/>
      <c r="BN3" s="8"/>
      <c r="BO3" s="8"/>
      <c r="BP3" s="8"/>
      <c r="BQ3" s="8"/>
      <c r="BR3" s="8"/>
      <c r="BU3" s="9"/>
      <c r="BV3" s="9"/>
      <c r="BW3" s="12"/>
      <c r="BX3" s="11" t="s">
        <v>15</v>
      </c>
      <c r="BY3" s="5">
        <v>3000000.0</v>
      </c>
      <c r="BZ3" s="5">
        <v>5000000.0</v>
      </c>
      <c r="CA3" s="5"/>
      <c r="CB3" s="5">
        <v>2000.0</v>
      </c>
      <c r="CC3" s="7"/>
      <c r="CD3" s="7"/>
      <c r="CE3" s="8"/>
      <c r="CF3" s="8"/>
      <c r="CG3" s="8"/>
      <c r="CH3" s="8"/>
      <c r="CI3" s="8"/>
      <c r="CL3" s="9"/>
      <c r="CM3" s="9"/>
      <c r="CN3" s="12"/>
      <c r="CO3" s="11" t="s">
        <v>15</v>
      </c>
      <c r="CP3" s="5">
        <v>3000000.0</v>
      </c>
      <c r="CQ3" s="5">
        <v>5000000.0</v>
      </c>
      <c r="CR3" s="5"/>
      <c r="CS3" s="5">
        <v>2000.0</v>
      </c>
      <c r="CT3" s="7"/>
      <c r="CU3" s="7"/>
      <c r="CV3" s="8"/>
      <c r="CW3" s="8"/>
      <c r="CX3" s="8"/>
      <c r="CY3" s="8"/>
      <c r="CZ3" s="8"/>
      <c r="DC3" s="9"/>
      <c r="DD3" s="9"/>
      <c r="DE3" s="12"/>
      <c r="DF3" s="11" t="s">
        <v>15</v>
      </c>
      <c r="DG3" s="5">
        <v>3000000.0</v>
      </c>
      <c r="DH3" s="5">
        <v>5000000.0</v>
      </c>
      <c r="DI3" s="5"/>
      <c r="DJ3" s="5">
        <v>2000.0</v>
      </c>
      <c r="DK3" s="7"/>
      <c r="DL3" s="7"/>
      <c r="DM3" s="8"/>
      <c r="DN3" s="8"/>
      <c r="DO3" s="8"/>
      <c r="DP3" s="8"/>
      <c r="DQ3" s="8"/>
      <c r="DT3" s="9"/>
      <c r="DU3" s="9"/>
      <c r="DV3" s="12"/>
      <c r="DW3" s="11" t="s">
        <v>15</v>
      </c>
      <c r="DX3" s="5">
        <v>3000000.0</v>
      </c>
      <c r="DY3" s="5">
        <v>5000000.0</v>
      </c>
      <c r="DZ3" s="5"/>
      <c r="EA3" s="5">
        <v>2000.0</v>
      </c>
      <c r="EB3" s="7"/>
      <c r="EC3" s="7"/>
      <c r="ED3" s="10"/>
      <c r="EE3" s="10"/>
      <c r="EF3" s="10"/>
      <c r="EG3" s="10"/>
      <c r="EH3" s="10"/>
      <c r="EI3" s="10"/>
      <c r="EJ3" s="10"/>
      <c r="EK3" s="10"/>
      <c r="EL3" s="10"/>
      <c r="EM3" s="12"/>
      <c r="EN3" s="11" t="s">
        <v>15</v>
      </c>
      <c r="EO3" s="5">
        <v>3000000.0</v>
      </c>
      <c r="EP3" s="5">
        <v>5000000.0</v>
      </c>
      <c r="EQ3" s="5"/>
      <c r="ER3" s="6">
        <v>0.01</v>
      </c>
      <c r="ES3" s="7"/>
      <c r="ET3" s="7"/>
      <c r="EU3" s="10"/>
      <c r="EV3" s="10"/>
      <c r="EW3" s="10"/>
      <c r="EX3" s="10"/>
      <c r="EY3" s="10"/>
      <c r="EZ3" s="10"/>
      <c r="FA3" s="10"/>
      <c r="FB3" s="10"/>
      <c r="FC3" s="10"/>
      <c r="FD3" s="12"/>
      <c r="FE3" s="11" t="s">
        <v>15</v>
      </c>
      <c r="FF3" s="5">
        <v>3000000.0</v>
      </c>
      <c r="FG3" s="5">
        <v>5000000.0</v>
      </c>
      <c r="FH3" s="5"/>
      <c r="FI3" s="6">
        <v>0.01</v>
      </c>
      <c r="FJ3" s="7"/>
      <c r="FK3" s="7"/>
      <c r="FL3" s="10"/>
      <c r="FM3" s="10"/>
      <c r="FN3" s="10"/>
      <c r="FO3" s="10"/>
      <c r="FP3" s="10"/>
      <c r="FQ3" s="10"/>
      <c r="FR3" s="10"/>
      <c r="FS3" s="10"/>
      <c r="FT3" s="10"/>
      <c r="FU3" s="12"/>
      <c r="FV3" s="10"/>
      <c r="FW3" s="10"/>
      <c r="FX3" s="10"/>
      <c r="FY3" s="10"/>
      <c r="FZ3" s="10"/>
      <c r="GA3" s="10"/>
    </row>
    <row r="4">
      <c r="A4" s="5" t="s">
        <v>16</v>
      </c>
      <c r="B4" s="5">
        <v>5000001.0</v>
      </c>
      <c r="C4" s="5">
        <v>1.0E7</v>
      </c>
      <c r="D4" s="13"/>
      <c r="E4" s="5">
        <v>3500.0</v>
      </c>
      <c r="F4" s="13"/>
      <c r="G4" s="13"/>
      <c r="H4" s="13"/>
      <c r="J4" s="2"/>
      <c r="M4" s="11" t="s">
        <v>16</v>
      </c>
      <c r="N4" s="5">
        <v>5000001.0</v>
      </c>
      <c r="O4" s="5">
        <v>1.0E7</v>
      </c>
      <c r="P4" s="13"/>
      <c r="Q4" s="5">
        <v>3500.0</v>
      </c>
      <c r="R4" s="13"/>
      <c r="S4" s="13"/>
      <c r="T4" s="13"/>
      <c r="V4" s="2"/>
      <c r="Y4" s="11" t="s">
        <v>16</v>
      </c>
      <c r="Z4" s="5">
        <v>5000001.0</v>
      </c>
      <c r="AA4" s="5">
        <v>1.0E7</v>
      </c>
      <c r="AB4" s="13"/>
      <c r="AC4" s="5">
        <v>3500.0</v>
      </c>
      <c r="AD4" s="13"/>
      <c r="AE4" s="13"/>
      <c r="AF4" s="13"/>
      <c r="AG4" s="13"/>
      <c r="AH4" s="13"/>
      <c r="AI4" s="13"/>
      <c r="AJ4" s="13"/>
      <c r="AM4" s="2"/>
      <c r="AO4" s="4"/>
      <c r="AP4" s="11" t="s">
        <v>16</v>
      </c>
      <c r="AQ4" s="5">
        <v>5000001.0</v>
      </c>
      <c r="AR4" s="5">
        <v>1.0E7</v>
      </c>
      <c r="AS4" s="13"/>
      <c r="AT4" s="5">
        <v>3500.0</v>
      </c>
      <c r="AU4" s="13"/>
      <c r="AV4" s="13"/>
      <c r="AW4" s="13"/>
      <c r="AX4" s="13"/>
      <c r="AY4" s="13"/>
      <c r="AZ4" s="13"/>
      <c r="BA4" s="13"/>
      <c r="BD4" s="2"/>
      <c r="BF4" s="4"/>
      <c r="BG4" s="11" t="s">
        <v>16</v>
      </c>
      <c r="BH4" s="5">
        <v>5000001.0</v>
      </c>
      <c r="BI4" s="5">
        <v>1.0E7</v>
      </c>
      <c r="BJ4" s="13"/>
      <c r="BK4" s="5">
        <v>3500.0</v>
      </c>
      <c r="BL4" s="13"/>
      <c r="BM4" s="13"/>
      <c r="BN4" s="13"/>
      <c r="BO4" s="13"/>
      <c r="BP4" s="13"/>
      <c r="BQ4" s="13"/>
      <c r="BR4" s="13"/>
      <c r="BU4" s="2"/>
      <c r="BW4" s="4"/>
      <c r="BX4" s="11" t="s">
        <v>16</v>
      </c>
      <c r="BY4" s="5">
        <v>5000001.0</v>
      </c>
      <c r="BZ4" s="5">
        <v>1.0E7</v>
      </c>
      <c r="CA4" s="13"/>
      <c r="CB4" s="5">
        <v>3500.0</v>
      </c>
      <c r="CC4" s="13"/>
      <c r="CD4" s="13"/>
      <c r="CE4" s="13"/>
      <c r="CF4" s="13"/>
      <c r="CG4" s="13"/>
      <c r="CH4" s="13"/>
      <c r="CI4" s="13"/>
      <c r="CL4" s="2"/>
      <c r="CN4" s="4"/>
      <c r="CO4" s="11" t="s">
        <v>16</v>
      </c>
      <c r="CP4" s="5">
        <v>5000001.0</v>
      </c>
      <c r="CQ4" s="5">
        <v>1.0E7</v>
      </c>
      <c r="CR4" s="13"/>
      <c r="CS4" s="5">
        <v>3500.0</v>
      </c>
      <c r="CT4" s="13"/>
      <c r="CU4" s="13"/>
      <c r="CV4" s="13"/>
      <c r="CW4" s="13"/>
      <c r="CX4" s="13"/>
      <c r="CY4" s="13"/>
      <c r="CZ4" s="13"/>
      <c r="DC4" s="2"/>
      <c r="DE4" s="4"/>
      <c r="DF4" s="11" t="s">
        <v>16</v>
      </c>
      <c r="DG4" s="5">
        <v>5000001.0</v>
      </c>
      <c r="DH4" s="5">
        <v>1.0E7</v>
      </c>
      <c r="DI4" s="13"/>
      <c r="DJ4" s="5">
        <v>3500.0</v>
      </c>
      <c r="DK4" s="13"/>
      <c r="DL4" s="13"/>
      <c r="DM4" s="13"/>
      <c r="DN4" s="13"/>
      <c r="DO4" s="13"/>
      <c r="DP4" s="13"/>
      <c r="DQ4" s="13"/>
      <c r="DT4" s="2"/>
      <c r="DV4" s="4"/>
      <c r="DW4" s="11" t="s">
        <v>16</v>
      </c>
      <c r="DX4" s="5">
        <v>5000001.0</v>
      </c>
      <c r="DY4" s="5">
        <v>1.0E7</v>
      </c>
      <c r="DZ4" s="13"/>
      <c r="EA4" s="5">
        <v>3500.0</v>
      </c>
      <c r="EB4" s="13"/>
      <c r="EC4" s="13"/>
      <c r="EM4" s="4"/>
      <c r="EN4" s="11" t="s">
        <v>16</v>
      </c>
      <c r="EO4" s="5">
        <v>5000001.0</v>
      </c>
      <c r="EP4" s="5">
        <v>1.0E7</v>
      </c>
      <c r="EQ4" s="13"/>
      <c r="ER4" s="6">
        <v>0.02</v>
      </c>
      <c r="ES4" s="13"/>
      <c r="ET4" s="13"/>
      <c r="FD4" s="4"/>
      <c r="FE4" s="11" t="s">
        <v>16</v>
      </c>
      <c r="FF4" s="5">
        <v>5000001.0</v>
      </c>
      <c r="FG4" s="5">
        <v>1.0E7</v>
      </c>
      <c r="FH4" s="13"/>
      <c r="FI4" s="6">
        <v>0.02</v>
      </c>
      <c r="FJ4" s="13"/>
      <c r="FK4" s="13"/>
      <c r="FU4" s="4"/>
    </row>
    <row r="5">
      <c r="A5" s="5" t="s">
        <v>17</v>
      </c>
      <c r="B5" s="5">
        <v>1.0000001E7</v>
      </c>
      <c r="C5" s="5">
        <v>1.5E7</v>
      </c>
      <c r="D5" s="14"/>
      <c r="E5" s="5">
        <v>5000.0</v>
      </c>
      <c r="F5" s="8"/>
      <c r="G5" s="8"/>
      <c r="H5" s="8"/>
      <c r="J5" s="9"/>
      <c r="K5" s="9"/>
      <c r="L5" s="10"/>
      <c r="M5" s="11" t="s">
        <v>17</v>
      </c>
      <c r="N5" s="5">
        <v>1.0000001E7</v>
      </c>
      <c r="O5" s="5">
        <v>1.5E7</v>
      </c>
      <c r="P5" s="14"/>
      <c r="Q5" s="5">
        <v>5000.0</v>
      </c>
      <c r="R5" s="8"/>
      <c r="S5" s="8"/>
      <c r="T5" s="8"/>
      <c r="V5" s="9"/>
      <c r="W5" s="9"/>
      <c r="X5" s="10"/>
      <c r="Y5" s="11" t="s">
        <v>17</v>
      </c>
      <c r="Z5" s="5">
        <v>1.0000001E7</v>
      </c>
      <c r="AA5" s="5">
        <v>1.5E7</v>
      </c>
      <c r="AB5" s="14"/>
      <c r="AC5" s="5">
        <v>5000.0</v>
      </c>
      <c r="AD5" s="8"/>
      <c r="AE5" s="8"/>
      <c r="AF5" s="8"/>
      <c r="AG5" s="8"/>
      <c r="AH5" s="8"/>
      <c r="AI5" s="8"/>
      <c r="AJ5" s="8"/>
      <c r="AM5" s="9"/>
      <c r="AN5" s="9"/>
      <c r="AO5" s="12"/>
      <c r="AP5" s="11" t="s">
        <v>17</v>
      </c>
      <c r="AQ5" s="5">
        <v>1.0000001E7</v>
      </c>
      <c r="AR5" s="5">
        <v>1.5E7</v>
      </c>
      <c r="AS5" s="14"/>
      <c r="AT5" s="5">
        <v>5000.0</v>
      </c>
      <c r="AU5" s="8"/>
      <c r="AV5" s="8"/>
      <c r="AW5" s="8"/>
      <c r="AX5" s="8"/>
      <c r="AY5" s="8"/>
      <c r="AZ5" s="8"/>
      <c r="BA5" s="8"/>
      <c r="BD5" s="9"/>
      <c r="BE5" s="9"/>
      <c r="BF5" s="12"/>
      <c r="BG5" s="11" t="s">
        <v>17</v>
      </c>
      <c r="BH5" s="5">
        <v>1.0000001E7</v>
      </c>
      <c r="BI5" s="5">
        <v>1.5E7</v>
      </c>
      <c r="BJ5" s="14"/>
      <c r="BK5" s="5">
        <v>5000.0</v>
      </c>
      <c r="BL5" s="8"/>
      <c r="BM5" s="8"/>
      <c r="BN5" s="8"/>
      <c r="BO5" s="8"/>
      <c r="BP5" s="8"/>
      <c r="BQ5" s="8"/>
      <c r="BR5" s="8"/>
      <c r="BU5" s="9"/>
      <c r="BV5" s="9"/>
      <c r="BW5" s="12"/>
      <c r="BX5" s="11" t="s">
        <v>17</v>
      </c>
      <c r="BY5" s="5">
        <v>1.0000001E7</v>
      </c>
      <c r="BZ5" s="5">
        <v>1.5E7</v>
      </c>
      <c r="CA5" s="14"/>
      <c r="CB5" s="5">
        <v>5000.0</v>
      </c>
      <c r="CC5" s="8"/>
      <c r="CD5" s="8"/>
      <c r="CE5" s="8"/>
      <c r="CF5" s="8"/>
      <c r="CG5" s="8"/>
      <c r="CH5" s="8"/>
      <c r="CI5" s="8"/>
      <c r="CL5" s="9"/>
      <c r="CM5" s="9"/>
      <c r="CN5" s="12"/>
      <c r="CO5" s="11" t="s">
        <v>17</v>
      </c>
      <c r="CP5" s="5">
        <v>1.0000001E7</v>
      </c>
      <c r="CQ5" s="5">
        <v>1.5E7</v>
      </c>
      <c r="CR5" s="14"/>
      <c r="CS5" s="5">
        <v>5000.0</v>
      </c>
      <c r="CT5" s="8"/>
      <c r="CU5" s="8"/>
      <c r="CV5" s="8"/>
      <c r="CW5" s="8"/>
      <c r="CX5" s="8"/>
      <c r="CY5" s="8"/>
      <c r="CZ5" s="8"/>
      <c r="DC5" s="9"/>
      <c r="DD5" s="9"/>
      <c r="DE5" s="12"/>
      <c r="DF5" s="11" t="s">
        <v>17</v>
      </c>
      <c r="DG5" s="5">
        <v>1.0000001E7</v>
      </c>
      <c r="DH5" s="5">
        <v>1.5E7</v>
      </c>
      <c r="DI5" s="14"/>
      <c r="DJ5" s="5">
        <v>5000.0</v>
      </c>
      <c r="DK5" s="8"/>
      <c r="DL5" s="8"/>
      <c r="DM5" s="8"/>
      <c r="DN5" s="8"/>
      <c r="DO5" s="8"/>
      <c r="DP5" s="8"/>
      <c r="DQ5" s="8"/>
      <c r="DT5" s="9"/>
      <c r="DU5" s="9"/>
      <c r="DV5" s="12"/>
      <c r="DW5" s="11" t="s">
        <v>17</v>
      </c>
      <c r="DX5" s="5">
        <v>1.0000001E7</v>
      </c>
      <c r="DY5" s="5">
        <v>1.5E7</v>
      </c>
      <c r="DZ5" s="14"/>
      <c r="EA5" s="5">
        <v>5000.0</v>
      </c>
      <c r="EB5" s="8"/>
      <c r="EC5" s="8"/>
      <c r="ED5" s="10"/>
      <c r="EE5" s="10"/>
      <c r="EF5" s="10"/>
      <c r="EG5" s="10"/>
      <c r="EH5" s="10"/>
      <c r="EI5" s="10"/>
      <c r="EJ5" s="10"/>
      <c r="EK5" s="10"/>
      <c r="EL5" s="10"/>
      <c r="EM5" s="12"/>
      <c r="EN5" s="11" t="s">
        <v>17</v>
      </c>
      <c r="EO5" s="5">
        <v>1.0000001E7</v>
      </c>
      <c r="EP5" s="5">
        <v>1.5E7</v>
      </c>
      <c r="EQ5" s="14"/>
      <c r="ER5" s="15">
        <v>0.03</v>
      </c>
      <c r="ES5" s="8"/>
      <c r="ET5" s="8"/>
      <c r="EU5" s="10"/>
      <c r="EV5" s="10"/>
      <c r="EW5" s="10"/>
      <c r="EX5" s="10"/>
      <c r="EY5" s="10"/>
      <c r="EZ5" s="10"/>
      <c r="FA5" s="10"/>
      <c r="FB5" s="10"/>
      <c r="FC5" s="10"/>
      <c r="FD5" s="12"/>
      <c r="FE5" s="11" t="s">
        <v>17</v>
      </c>
      <c r="FF5" s="5">
        <v>1.0000001E7</v>
      </c>
      <c r="FG5" s="5">
        <v>1.5E7</v>
      </c>
      <c r="FH5" s="14"/>
      <c r="FI5" s="15">
        <v>0.03</v>
      </c>
      <c r="FJ5" s="8"/>
      <c r="FK5" s="8"/>
      <c r="FL5" s="10"/>
      <c r="FM5" s="10"/>
      <c r="FN5" s="10"/>
      <c r="FO5" s="10"/>
      <c r="FP5" s="10"/>
      <c r="FQ5" s="10"/>
      <c r="FR5" s="10"/>
      <c r="FS5" s="10"/>
      <c r="FT5" s="10"/>
      <c r="FU5" s="12"/>
      <c r="FV5" s="10"/>
      <c r="FW5" s="10"/>
      <c r="FX5" s="10"/>
      <c r="FY5" s="10"/>
      <c r="FZ5" s="10"/>
      <c r="GA5" s="10"/>
    </row>
    <row r="6">
      <c r="A6" s="5" t="s">
        <v>18</v>
      </c>
      <c r="B6" s="5">
        <v>1.5000001E7</v>
      </c>
      <c r="C6" s="5">
        <v>2.0E7</v>
      </c>
      <c r="D6" s="13"/>
      <c r="E6" s="5">
        <v>6500.0</v>
      </c>
      <c r="F6" s="13"/>
      <c r="G6" s="13"/>
      <c r="H6" s="13"/>
      <c r="J6" s="2"/>
      <c r="M6" s="11" t="s">
        <v>18</v>
      </c>
      <c r="N6" s="5">
        <v>1.5000001E7</v>
      </c>
      <c r="O6" s="5">
        <v>2.0E7</v>
      </c>
      <c r="P6" s="13"/>
      <c r="Q6" s="5">
        <v>6500.0</v>
      </c>
      <c r="R6" s="13"/>
      <c r="S6" s="13"/>
      <c r="T6" s="13"/>
      <c r="V6" s="2"/>
      <c r="Y6" s="11" t="s">
        <v>18</v>
      </c>
      <c r="Z6" s="5">
        <v>1.5000001E7</v>
      </c>
      <c r="AA6" s="5">
        <v>2.0E7</v>
      </c>
      <c r="AB6" s="13"/>
      <c r="AC6" s="5">
        <v>6500.0</v>
      </c>
      <c r="AD6" s="13"/>
      <c r="AE6" s="13"/>
      <c r="AF6" s="13"/>
      <c r="AG6" s="13"/>
      <c r="AH6" s="13"/>
      <c r="AI6" s="13"/>
      <c r="AJ6" s="13"/>
      <c r="AM6" s="2"/>
      <c r="AO6" s="4"/>
      <c r="AP6" s="11" t="s">
        <v>18</v>
      </c>
      <c r="AQ6" s="5">
        <v>1.5000001E7</v>
      </c>
      <c r="AR6" s="5">
        <v>2.0E7</v>
      </c>
      <c r="AS6" s="13"/>
      <c r="AT6" s="5">
        <v>6500.0</v>
      </c>
      <c r="AU6" s="13"/>
      <c r="AV6" s="13"/>
      <c r="AW6" s="13"/>
      <c r="AX6" s="13"/>
      <c r="AY6" s="13"/>
      <c r="AZ6" s="13"/>
      <c r="BA6" s="13"/>
      <c r="BD6" s="2"/>
      <c r="BF6" s="4"/>
      <c r="BG6" s="11" t="s">
        <v>18</v>
      </c>
      <c r="BH6" s="5">
        <v>1.5000001E7</v>
      </c>
      <c r="BI6" s="5">
        <v>2.0E7</v>
      </c>
      <c r="BJ6" s="13"/>
      <c r="BK6" s="5">
        <v>6500.0</v>
      </c>
      <c r="BL6" s="13"/>
      <c r="BM6" s="13"/>
      <c r="BN6" s="13"/>
      <c r="BO6" s="13"/>
      <c r="BP6" s="13"/>
      <c r="BQ6" s="13"/>
      <c r="BR6" s="13"/>
      <c r="BU6" s="2"/>
      <c r="BW6" s="4"/>
      <c r="BX6" s="11" t="s">
        <v>18</v>
      </c>
      <c r="BY6" s="5">
        <v>1.5000001E7</v>
      </c>
      <c r="BZ6" s="5">
        <v>2.0E7</v>
      </c>
      <c r="CA6" s="13"/>
      <c r="CB6" s="5">
        <v>6500.0</v>
      </c>
      <c r="CC6" s="13"/>
      <c r="CD6" s="13"/>
      <c r="CE6" s="13"/>
      <c r="CF6" s="13"/>
      <c r="CG6" s="13"/>
      <c r="CH6" s="13"/>
      <c r="CI6" s="13"/>
      <c r="CL6" s="2"/>
      <c r="CN6" s="4"/>
      <c r="CO6" s="11" t="s">
        <v>18</v>
      </c>
      <c r="CP6" s="5">
        <v>1.5000001E7</v>
      </c>
      <c r="CQ6" s="5">
        <v>2.0E7</v>
      </c>
      <c r="CR6" s="13"/>
      <c r="CS6" s="5">
        <v>6500.0</v>
      </c>
      <c r="CT6" s="13"/>
      <c r="CU6" s="13"/>
      <c r="CV6" s="13"/>
      <c r="CW6" s="13"/>
      <c r="CX6" s="13"/>
      <c r="CY6" s="13"/>
      <c r="CZ6" s="13"/>
      <c r="DC6" s="2"/>
      <c r="DE6" s="4"/>
      <c r="DF6" s="11" t="s">
        <v>18</v>
      </c>
      <c r="DG6" s="5">
        <v>1.5000001E7</v>
      </c>
      <c r="DH6" s="5">
        <v>2.0E7</v>
      </c>
      <c r="DI6" s="13"/>
      <c r="DJ6" s="5">
        <v>6500.0</v>
      </c>
      <c r="DK6" s="13"/>
      <c r="DL6" s="13"/>
      <c r="DM6" s="13"/>
      <c r="DN6" s="13"/>
      <c r="DO6" s="13"/>
      <c r="DP6" s="13"/>
      <c r="DQ6" s="13"/>
      <c r="DT6" s="2"/>
      <c r="DV6" s="4"/>
      <c r="DW6" s="11" t="s">
        <v>18</v>
      </c>
      <c r="DX6" s="5">
        <v>1.5000001E7</v>
      </c>
      <c r="DY6" s="5">
        <v>2.0E7</v>
      </c>
      <c r="DZ6" s="13"/>
      <c r="EA6" s="5">
        <v>6500.0</v>
      </c>
      <c r="EB6" s="13"/>
      <c r="EC6" s="13"/>
      <c r="EM6" s="4"/>
      <c r="EN6" s="11" t="s">
        <v>18</v>
      </c>
      <c r="EO6" s="5">
        <v>1.5000001E7</v>
      </c>
      <c r="EP6" s="5">
        <v>2.0E7</v>
      </c>
      <c r="EQ6" s="13"/>
      <c r="ER6" s="6">
        <v>0.04</v>
      </c>
      <c r="ES6" s="13"/>
      <c r="ET6" s="13"/>
      <c r="FD6" s="4"/>
      <c r="FE6" s="11" t="s">
        <v>18</v>
      </c>
      <c r="FF6" s="5">
        <v>1.5000001E7</v>
      </c>
      <c r="FG6" s="5">
        <v>2.0E7</v>
      </c>
      <c r="FH6" s="13"/>
      <c r="FI6" s="6">
        <v>0.04</v>
      </c>
      <c r="FJ6" s="13"/>
      <c r="FK6" s="13"/>
      <c r="FU6" s="4"/>
    </row>
    <row r="7">
      <c r="A7" s="5" t="s">
        <v>19</v>
      </c>
      <c r="B7" s="5">
        <v>2.0000001E7</v>
      </c>
      <c r="C7" s="5">
        <v>9.99999999E8</v>
      </c>
      <c r="D7" s="14"/>
      <c r="E7" s="5">
        <v>8000.0</v>
      </c>
      <c r="F7" s="8"/>
      <c r="G7" s="8"/>
      <c r="H7" s="8"/>
      <c r="J7" s="9"/>
      <c r="K7" s="9"/>
      <c r="L7" s="10"/>
      <c r="M7" s="11" t="s">
        <v>19</v>
      </c>
      <c r="N7" s="5">
        <v>2.0000001E7</v>
      </c>
      <c r="O7" s="5">
        <v>9.99999999E8</v>
      </c>
      <c r="P7" s="14"/>
      <c r="Q7" s="5">
        <v>8000.0</v>
      </c>
      <c r="R7" s="8"/>
      <c r="S7" s="8"/>
      <c r="T7" s="8"/>
      <c r="V7" s="9"/>
      <c r="W7" s="9"/>
      <c r="X7" s="10"/>
      <c r="Y7" s="11" t="s">
        <v>19</v>
      </c>
      <c r="Z7" s="5">
        <v>2.0000001E7</v>
      </c>
      <c r="AA7" s="5">
        <v>9.99999999E8</v>
      </c>
      <c r="AB7" s="14"/>
      <c r="AC7" s="5">
        <v>8000.0</v>
      </c>
      <c r="AD7" s="8"/>
      <c r="AE7" s="8"/>
      <c r="AF7" s="8"/>
      <c r="AG7" s="8"/>
      <c r="AH7" s="8"/>
      <c r="AI7" s="8"/>
      <c r="AJ7" s="8"/>
      <c r="AM7" s="9"/>
      <c r="AN7" s="9"/>
      <c r="AO7" s="12"/>
      <c r="AP7" s="11" t="s">
        <v>19</v>
      </c>
      <c r="AQ7" s="5">
        <v>2.0000001E7</v>
      </c>
      <c r="AR7" s="5">
        <v>9.99999999E8</v>
      </c>
      <c r="AS7" s="14"/>
      <c r="AT7" s="5">
        <v>8000.0</v>
      </c>
      <c r="AU7" s="8"/>
      <c r="AV7" s="8"/>
      <c r="AW7" s="8"/>
      <c r="AX7" s="8"/>
      <c r="AY7" s="8"/>
      <c r="AZ7" s="8"/>
      <c r="BA7" s="8"/>
      <c r="BD7" s="9"/>
      <c r="BE7" s="9"/>
      <c r="BF7" s="12"/>
      <c r="BG7" s="11" t="s">
        <v>19</v>
      </c>
      <c r="BH7" s="5">
        <v>2.0000001E7</v>
      </c>
      <c r="BI7" s="5">
        <v>9.99999999E8</v>
      </c>
      <c r="BJ7" s="14"/>
      <c r="BK7" s="5">
        <v>8000.0</v>
      </c>
      <c r="BL7" s="8"/>
      <c r="BM7" s="8"/>
      <c r="BN7" s="8"/>
      <c r="BO7" s="8"/>
      <c r="BP7" s="8"/>
      <c r="BQ7" s="8"/>
      <c r="BR7" s="8"/>
      <c r="BU7" s="9"/>
      <c r="BV7" s="9"/>
      <c r="BW7" s="12"/>
      <c r="BX7" s="11" t="s">
        <v>19</v>
      </c>
      <c r="BY7" s="5">
        <v>2.0000001E7</v>
      </c>
      <c r="BZ7" s="5">
        <v>9.99999999E8</v>
      </c>
      <c r="CA7" s="14"/>
      <c r="CB7" s="5">
        <v>8000.0</v>
      </c>
      <c r="CC7" s="8"/>
      <c r="CD7" s="8"/>
      <c r="CE7" s="8"/>
      <c r="CF7" s="8"/>
      <c r="CG7" s="8"/>
      <c r="CH7" s="8"/>
      <c r="CI7" s="8"/>
      <c r="CL7" s="9"/>
      <c r="CM7" s="9"/>
      <c r="CN7" s="12"/>
      <c r="CO7" s="11" t="s">
        <v>19</v>
      </c>
      <c r="CP7" s="5">
        <v>2.0000001E7</v>
      </c>
      <c r="CQ7" s="5">
        <v>9.99999999E8</v>
      </c>
      <c r="CR7" s="14"/>
      <c r="CS7" s="5">
        <v>8000.0</v>
      </c>
      <c r="CT7" s="8"/>
      <c r="CU7" s="8"/>
      <c r="CV7" s="8"/>
      <c r="CW7" s="8"/>
      <c r="CX7" s="8"/>
      <c r="CY7" s="8"/>
      <c r="CZ7" s="8"/>
      <c r="DC7" s="9"/>
      <c r="DD7" s="9"/>
      <c r="DE7" s="12"/>
      <c r="DF7" s="11" t="s">
        <v>19</v>
      </c>
      <c r="DG7" s="5">
        <v>2.0000001E7</v>
      </c>
      <c r="DH7" s="5">
        <v>9.99999999E8</v>
      </c>
      <c r="DI7" s="14"/>
      <c r="DJ7" s="5">
        <v>8000.0</v>
      </c>
      <c r="DK7" s="8"/>
      <c r="DL7" s="8"/>
      <c r="DM7" s="8"/>
      <c r="DN7" s="8"/>
      <c r="DO7" s="8"/>
      <c r="DP7" s="8"/>
      <c r="DQ7" s="8"/>
      <c r="DT7" s="9"/>
      <c r="DU7" s="9"/>
      <c r="DV7" s="12"/>
      <c r="DW7" s="11" t="s">
        <v>19</v>
      </c>
      <c r="DX7" s="5">
        <v>2.0000001E7</v>
      </c>
      <c r="DY7" s="5">
        <v>9.99999999E8</v>
      </c>
      <c r="DZ7" s="14"/>
      <c r="EA7" s="5">
        <v>8000.0</v>
      </c>
      <c r="EB7" s="8"/>
      <c r="EC7" s="8"/>
      <c r="ED7" s="10"/>
      <c r="EE7" s="10"/>
      <c r="EF7" s="10"/>
      <c r="EG7" s="10"/>
      <c r="EH7" s="10"/>
      <c r="EI7" s="10"/>
      <c r="EJ7" s="10"/>
      <c r="EK7" s="10"/>
      <c r="EL7" s="10"/>
      <c r="EM7" s="12"/>
      <c r="EN7" s="11" t="s">
        <v>19</v>
      </c>
      <c r="EO7" s="5">
        <v>2.0000001E7</v>
      </c>
      <c r="EP7" s="5">
        <v>9.99999999E8</v>
      </c>
      <c r="EQ7" s="14"/>
      <c r="ER7" s="15">
        <v>0.05</v>
      </c>
      <c r="ES7" s="8"/>
      <c r="ET7" s="8"/>
      <c r="EU7" s="10"/>
      <c r="EV7" s="10"/>
      <c r="EW7" s="10"/>
      <c r="EX7" s="10"/>
      <c r="EY7" s="10"/>
      <c r="EZ7" s="10"/>
      <c r="FA7" s="10"/>
      <c r="FB7" s="10"/>
      <c r="FC7" s="10"/>
      <c r="FD7" s="12"/>
      <c r="FE7" s="11" t="s">
        <v>19</v>
      </c>
      <c r="FF7" s="5">
        <v>2.0000001E7</v>
      </c>
      <c r="FG7" s="5">
        <v>9.99999999E8</v>
      </c>
      <c r="FH7" s="14"/>
      <c r="FI7" s="15">
        <v>0.05</v>
      </c>
      <c r="FJ7" s="8"/>
      <c r="FK7" s="8"/>
      <c r="FL7" s="10"/>
      <c r="FM7" s="10"/>
      <c r="FN7" s="10"/>
      <c r="FO7" s="10"/>
      <c r="FP7" s="10"/>
      <c r="FQ7" s="10"/>
      <c r="FR7" s="10"/>
      <c r="FS7" s="10"/>
      <c r="FT7" s="10"/>
      <c r="FU7" s="12"/>
      <c r="FV7" s="10"/>
      <c r="FW7" s="10"/>
      <c r="FX7" s="10"/>
      <c r="FY7" s="10"/>
      <c r="FZ7" s="10"/>
      <c r="GA7" s="10"/>
    </row>
    <row r="8">
      <c r="A8" s="16"/>
      <c r="B8" s="13"/>
      <c r="C8" s="13"/>
      <c r="D8" s="13"/>
      <c r="E8" s="13"/>
      <c r="F8" s="13"/>
      <c r="G8" s="8"/>
      <c r="H8" s="8"/>
      <c r="J8" s="1"/>
      <c r="M8" s="17"/>
      <c r="N8" s="13"/>
      <c r="O8" s="13"/>
      <c r="P8" s="13"/>
      <c r="Q8" s="13"/>
      <c r="R8" s="13"/>
      <c r="S8" s="8"/>
      <c r="T8" s="8"/>
      <c r="V8" s="1"/>
      <c r="Y8" s="17"/>
      <c r="Z8" s="13"/>
      <c r="AA8" s="13"/>
      <c r="AB8" s="13"/>
      <c r="AC8" s="13"/>
      <c r="AD8" s="13"/>
      <c r="AE8" s="13"/>
      <c r="AF8" s="8"/>
      <c r="AG8" s="8"/>
      <c r="AH8" s="8"/>
      <c r="AI8" s="8"/>
      <c r="AJ8" s="8"/>
      <c r="AM8" s="1"/>
      <c r="AO8" s="4"/>
      <c r="AP8" s="16"/>
      <c r="AQ8" s="13"/>
      <c r="AR8" s="13"/>
      <c r="AS8" s="13"/>
      <c r="AT8" s="13"/>
      <c r="AU8" s="13"/>
      <c r="AV8" s="13"/>
      <c r="AW8" s="8"/>
      <c r="AX8" s="8"/>
      <c r="AY8" s="8"/>
      <c r="AZ8" s="8"/>
      <c r="BA8" s="8"/>
      <c r="BD8" s="1"/>
      <c r="BF8" s="4"/>
      <c r="BG8" s="17"/>
      <c r="BH8" s="13"/>
      <c r="BI8" s="13"/>
      <c r="BJ8" s="13"/>
      <c r="BK8" s="13"/>
      <c r="BL8" s="13"/>
      <c r="BM8" s="13"/>
      <c r="BN8" s="8"/>
      <c r="BO8" s="8"/>
      <c r="BP8" s="8"/>
      <c r="BQ8" s="8"/>
      <c r="BR8" s="8"/>
      <c r="BU8" s="1"/>
      <c r="BW8" s="4"/>
      <c r="BX8" s="17"/>
      <c r="BY8" s="13"/>
      <c r="BZ8" s="13"/>
      <c r="CA8" s="13"/>
      <c r="CB8" s="13"/>
      <c r="CC8" s="13"/>
      <c r="CD8" s="13"/>
      <c r="CE8" s="8"/>
      <c r="CF8" s="8"/>
      <c r="CG8" s="8"/>
      <c r="CH8" s="8"/>
      <c r="CI8" s="8"/>
      <c r="CL8" s="1"/>
      <c r="CN8" s="4"/>
      <c r="CO8" s="17"/>
      <c r="CP8" s="13"/>
      <c r="CQ8" s="13"/>
      <c r="CR8" s="13"/>
      <c r="CS8" s="13"/>
      <c r="CT8" s="13"/>
      <c r="CU8" s="13"/>
      <c r="CV8" s="8"/>
      <c r="CW8" s="8"/>
      <c r="CX8" s="8"/>
      <c r="CY8" s="8"/>
      <c r="CZ8" s="8"/>
      <c r="DC8" s="1"/>
      <c r="DE8" s="4"/>
      <c r="DF8" s="17"/>
      <c r="DG8" s="13"/>
      <c r="DH8" s="13"/>
      <c r="DI8" s="13"/>
      <c r="DJ8" s="13"/>
      <c r="DK8" s="13"/>
      <c r="DL8" s="13"/>
      <c r="DM8" s="8"/>
      <c r="DN8" s="8"/>
      <c r="DO8" s="8"/>
      <c r="DP8" s="8"/>
      <c r="DQ8" s="8"/>
      <c r="DT8" s="1"/>
      <c r="DV8" s="4"/>
      <c r="DW8" s="17"/>
      <c r="DX8" s="13"/>
      <c r="DY8" s="13"/>
      <c r="DZ8" s="13"/>
      <c r="EA8" s="13"/>
      <c r="EB8" s="13"/>
      <c r="EC8" s="13"/>
      <c r="EM8" s="4"/>
      <c r="EN8" s="17"/>
      <c r="EO8" s="13"/>
      <c r="EP8" s="13"/>
      <c r="EQ8" s="13"/>
      <c r="ER8" s="13"/>
      <c r="ES8" s="13"/>
      <c r="ET8" s="13"/>
      <c r="FD8" s="4"/>
      <c r="FE8" s="17"/>
      <c r="FF8" s="13"/>
      <c r="FG8" s="13"/>
      <c r="FH8" s="13"/>
      <c r="FI8" s="13"/>
      <c r="FJ8" s="13"/>
      <c r="FK8" s="13"/>
      <c r="FU8" s="4"/>
    </row>
    <row r="9">
      <c r="A9" s="1" t="s">
        <v>20</v>
      </c>
      <c r="J9" s="2"/>
      <c r="M9" s="3" t="s">
        <v>20</v>
      </c>
      <c r="V9" s="2"/>
      <c r="Y9" s="3" t="s">
        <v>20</v>
      </c>
      <c r="AM9" s="2"/>
      <c r="AO9" s="4"/>
      <c r="AP9" s="1" t="s">
        <v>20</v>
      </c>
      <c r="BD9" s="2"/>
      <c r="BF9" s="4"/>
      <c r="BG9" s="3" t="s">
        <v>20</v>
      </c>
      <c r="BU9" s="2"/>
      <c r="BW9" s="4"/>
      <c r="BX9" s="3" t="s">
        <v>20</v>
      </c>
      <c r="CL9" s="2"/>
      <c r="CN9" s="4"/>
      <c r="CO9" s="3" t="s">
        <v>20</v>
      </c>
      <c r="DC9" s="2"/>
      <c r="DE9" s="4"/>
      <c r="DF9" s="3" t="s">
        <v>20</v>
      </c>
      <c r="DT9" s="2"/>
      <c r="DV9" s="4"/>
      <c r="DW9" s="3" t="s">
        <v>20</v>
      </c>
      <c r="EM9" s="4"/>
      <c r="EN9" s="3" t="s">
        <v>20</v>
      </c>
      <c r="FD9" s="4"/>
      <c r="FE9" s="3" t="s">
        <v>20</v>
      </c>
      <c r="FU9" s="4"/>
    </row>
    <row r="10">
      <c r="A10" s="2" t="s">
        <v>21</v>
      </c>
      <c r="B10" s="2" t="s">
        <v>22</v>
      </c>
      <c r="C10" s="2" t="s">
        <v>23</v>
      </c>
      <c r="D10" s="2" t="s">
        <v>24</v>
      </c>
      <c r="J10" s="2"/>
      <c r="K10" s="9"/>
      <c r="L10" s="9"/>
      <c r="M10" s="18" t="s">
        <v>21</v>
      </c>
      <c r="N10" s="2" t="s">
        <v>22</v>
      </c>
      <c r="O10" s="2" t="s">
        <v>23</v>
      </c>
      <c r="P10" s="2" t="s">
        <v>24</v>
      </c>
      <c r="V10" s="2"/>
      <c r="W10" s="9"/>
      <c r="X10" s="9"/>
      <c r="Y10" s="18" t="s">
        <v>21</v>
      </c>
      <c r="Z10" s="2" t="s">
        <v>22</v>
      </c>
      <c r="AA10" s="2" t="s">
        <v>23</v>
      </c>
      <c r="AB10" s="2" t="s">
        <v>24</v>
      </c>
      <c r="AM10" s="2"/>
      <c r="AN10" s="9"/>
      <c r="AO10" s="19"/>
      <c r="AP10" s="2" t="s">
        <v>21</v>
      </c>
      <c r="AQ10" s="2" t="s">
        <v>22</v>
      </c>
      <c r="AR10" s="2" t="s">
        <v>23</v>
      </c>
      <c r="AS10" s="2" t="s">
        <v>24</v>
      </c>
      <c r="BD10" s="2"/>
      <c r="BE10" s="9"/>
      <c r="BF10" s="19"/>
      <c r="BG10" s="18" t="s">
        <v>21</v>
      </c>
      <c r="BH10" s="2" t="s">
        <v>22</v>
      </c>
      <c r="BI10" s="2" t="s">
        <v>23</v>
      </c>
      <c r="BJ10" s="2" t="s">
        <v>24</v>
      </c>
      <c r="BU10" s="2"/>
      <c r="BV10" s="9"/>
      <c r="BW10" s="19"/>
      <c r="BX10" s="18" t="s">
        <v>21</v>
      </c>
      <c r="BY10" s="2" t="s">
        <v>22</v>
      </c>
      <c r="BZ10" s="2" t="s">
        <v>23</v>
      </c>
      <c r="CA10" s="2" t="s">
        <v>24</v>
      </c>
      <c r="CL10" s="2"/>
      <c r="CM10" s="9"/>
      <c r="CN10" s="19"/>
      <c r="CO10" s="18" t="s">
        <v>21</v>
      </c>
      <c r="CP10" s="2" t="s">
        <v>22</v>
      </c>
      <c r="CQ10" s="2" t="s">
        <v>23</v>
      </c>
      <c r="CR10" s="2" t="s">
        <v>24</v>
      </c>
      <c r="DC10" s="2"/>
      <c r="DD10" s="9"/>
      <c r="DE10" s="19"/>
      <c r="DF10" s="18" t="s">
        <v>21</v>
      </c>
      <c r="DG10" s="2" t="s">
        <v>22</v>
      </c>
      <c r="DH10" s="2" t="s">
        <v>23</v>
      </c>
      <c r="DI10" s="2" t="s">
        <v>24</v>
      </c>
      <c r="DT10" s="2"/>
      <c r="DU10" s="9"/>
      <c r="DV10" s="19"/>
      <c r="DW10" s="18" t="s">
        <v>21</v>
      </c>
      <c r="DX10" s="2" t="s">
        <v>25</v>
      </c>
      <c r="DY10" s="2" t="s">
        <v>26</v>
      </c>
      <c r="DZ10" s="2" t="s">
        <v>22</v>
      </c>
      <c r="EA10" s="2" t="s">
        <v>23</v>
      </c>
      <c r="EB10" s="2" t="s">
        <v>24</v>
      </c>
      <c r="ED10" s="9"/>
      <c r="EE10" s="9"/>
      <c r="EF10" s="9"/>
      <c r="EG10" s="9"/>
      <c r="EH10" s="9"/>
      <c r="EI10" s="9"/>
      <c r="EJ10" s="9"/>
      <c r="EK10" s="9"/>
      <c r="EL10" s="9"/>
      <c r="EM10" s="19"/>
      <c r="EN10" s="18" t="s">
        <v>21</v>
      </c>
      <c r="EO10" s="2" t="s">
        <v>25</v>
      </c>
      <c r="EP10" s="2" t="s">
        <v>26</v>
      </c>
      <c r="EQ10" s="2" t="s">
        <v>22</v>
      </c>
      <c r="ER10" s="2" t="s">
        <v>23</v>
      </c>
      <c r="ES10" s="2" t="s">
        <v>24</v>
      </c>
      <c r="EU10" s="9"/>
      <c r="EV10" s="9"/>
      <c r="EW10" s="9"/>
      <c r="EX10" s="9"/>
      <c r="EY10" s="9"/>
      <c r="EZ10" s="9"/>
      <c r="FA10" s="9"/>
      <c r="FB10" s="9"/>
      <c r="FC10" s="9"/>
      <c r="FD10" s="19"/>
      <c r="FE10" s="18" t="s">
        <v>21</v>
      </c>
      <c r="FF10" s="2" t="s">
        <v>25</v>
      </c>
      <c r="FG10" s="2" t="s">
        <v>26</v>
      </c>
      <c r="FH10" s="2" t="s">
        <v>22</v>
      </c>
      <c r="FI10" s="2" t="s">
        <v>23</v>
      </c>
      <c r="FJ10" s="2" t="s">
        <v>24</v>
      </c>
      <c r="FL10" s="9"/>
      <c r="FM10" s="9"/>
      <c r="FN10" s="9"/>
      <c r="FO10" s="9"/>
      <c r="FP10" s="9"/>
      <c r="FQ10" s="9"/>
      <c r="FR10" s="9"/>
      <c r="FS10" s="9"/>
      <c r="FT10" s="9"/>
      <c r="FU10" s="19"/>
      <c r="FV10" s="9"/>
      <c r="FW10" s="9"/>
      <c r="FX10" s="9"/>
      <c r="FY10" s="9"/>
      <c r="FZ10" s="9"/>
      <c r="GA10" s="9"/>
    </row>
    <row r="11">
      <c r="A11" s="2" t="s">
        <v>27</v>
      </c>
      <c r="B11" s="9">
        <v>200000.0</v>
      </c>
      <c r="C11" s="9">
        <v>220000.0</v>
      </c>
      <c r="D11" s="9">
        <v>180000.0</v>
      </c>
      <c r="J11" s="2"/>
      <c r="K11" s="9"/>
      <c r="L11" s="9"/>
      <c r="M11" s="18" t="s">
        <v>27</v>
      </c>
      <c r="N11" s="9">
        <v>200000.0</v>
      </c>
      <c r="O11" s="9">
        <v>220000.0</v>
      </c>
      <c r="P11" s="9">
        <v>180000.0</v>
      </c>
      <c r="V11" s="2"/>
      <c r="W11" s="9"/>
      <c r="X11" s="9"/>
      <c r="Y11" s="18" t="s">
        <v>27</v>
      </c>
      <c r="Z11" s="9">
        <v>200000.0</v>
      </c>
      <c r="AA11" s="9">
        <v>220000.0</v>
      </c>
      <c r="AB11" s="9">
        <v>180000.0</v>
      </c>
      <c r="AM11" s="2"/>
      <c r="AN11" s="9"/>
      <c r="AO11" s="19"/>
      <c r="AP11" s="2" t="s">
        <v>27</v>
      </c>
      <c r="AQ11" s="9">
        <v>200000.0</v>
      </c>
      <c r="AR11" s="9">
        <v>220000.0</v>
      </c>
      <c r="AS11" s="9">
        <v>180000.0</v>
      </c>
      <c r="BD11" s="2"/>
      <c r="BE11" s="9"/>
      <c r="BF11" s="19"/>
      <c r="BG11" s="18" t="s">
        <v>27</v>
      </c>
      <c r="BH11" s="9">
        <v>200000.0</v>
      </c>
      <c r="BI11" s="9">
        <v>220000.0</v>
      </c>
      <c r="BJ11" s="9">
        <v>180000.0</v>
      </c>
      <c r="BU11" s="2"/>
      <c r="BV11" s="9"/>
      <c r="BW11" s="19"/>
      <c r="BX11" s="18" t="s">
        <v>27</v>
      </c>
      <c r="BY11" s="9">
        <v>200000.0</v>
      </c>
      <c r="BZ11" s="9">
        <v>220000.0</v>
      </c>
      <c r="CA11" s="9">
        <v>180000.0</v>
      </c>
      <c r="CL11" s="2"/>
      <c r="CM11" s="9"/>
      <c r="CN11" s="19"/>
      <c r="CO11" s="18" t="s">
        <v>27</v>
      </c>
      <c r="CP11" s="9">
        <v>200000.0</v>
      </c>
      <c r="CQ11" s="9">
        <v>220000.0</v>
      </c>
      <c r="CR11" s="9">
        <v>180000.0</v>
      </c>
      <c r="DC11" s="2"/>
      <c r="DD11" s="9"/>
      <c r="DE11" s="19"/>
      <c r="DF11" s="18" t="s">
        <v>27</v>
      </c>
      <c r="DG11" s="9">
        <v>200000.0</v>
      </c>
      <c r="DH11" s="9">
        <v>220000.0</v>
      </c>
      <c r="DI11" s="9">
        <v>180000.0</v>
      </c>
      <c r="DT11" s="2"/>
      <c r="DU11" s="9"/>
      <c r="DV11" s="19"/>
      <c r="DW11" s="18" t="s">
        <v>27</v>
      </c>
      <c r="DX11" s="2" t="s">
        <v>28</v>
      </c>
      <c r="DY11" s="2">
        <v>5.0</v>
      </c>
      <c r="DZ11" s="9">
        <v>200000.0</v>
      </c>
      <c r="EA11" s="9">
        <v>220000.0</v>
      </c>
      <c r="EB11" s="9">
        <v>180000.0</v>
      </c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19"/>
      <c r="EN11" s="18" t="s">
        <v>27</v>
      </c>
      <c r="EO11" s="2" t="s">
        <v>28</v>
      </c>
      <c r="EP11" s="2">
        <v>5.0</v>
      </c>
      <c r="EQ11" s="9">
        <v>200000.0</v>
      </c>
      <c r="ER11" s="9">
        <v>220000.0</v>
      </c>
      <c r="ES11" s="9">
        <v>180000.0</v>
      </c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19"/>
      <c r="FE11" s="18" t="s">
        <v>27</v>
      </c>
      <c r="FF11" s="2" t="s">
        <v>28</v>
      </c>
      <c r="FG11" s="2">
        <v>20.0</v>
      </c>
      <c r="FH11" s="9">
        <v>200000.0</v>
      </c>
      <c r="FI11" s="9">
        <v>220000.0</v>
      </c>
      <c r="FJ11" s="9">
        <v>180000.0</v>
      </c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19"/>
      <c r="FV11" s="9"/>
      <c r="FW11" s="9"/>
      <c r="FX11" s="9"/>
      <c r="FY11" s="9"/>
      <c r="FZ11" s="9"/>
      <c r="GA11" s="9"/>
    </row>
    <row r="12">
      <c r="A12" s="2" t="s">
        <v>29</v>
      </c>
      <c r="B12" s="9">
        <v>250000.0</v>
      </c>
      <c r="C12" s="9">
        <v>300000.0</v>
      </c>
      <c r="D12" s="9">
        <v>180000.0</v>
      </c>
      <c r="J12" s="2"/>
      <c r="K12" s="9"/>
      <c r="L12" s="9"/>
      <c r="M12" s="18" t="s">
        <v>29</v>
      </c>
      <c r="N12" s="9">
        <v>250000.0</v>
      </c>
      <c r="O12" s="9">
        <v>300000.0</v>
      </c>
      <c r="P12" s="9">
        <v>180000.0</v>
      </c>
      <c r="V12" s="2"/>
      <c r="W12" s="9"/>
      <c r="X12" s="9"/>
      <c r="Y12" s="18" t="s">
        <v>29</v>
      </c>
      <c r="Z12" s="9">
        <v>250000.0</v>
      </c>
      <c r="AA12" s="9">
        <v>300000.0</v>
      </c>
      <c r="AB12" s="9">
        <v>180000.0</v>
      </c>
      <c r="AM12" s="2"/>
      <c r="AN12" s="9"/>
      <c r="AO12" s="19"/>
      <c r="AP12" s="2" t="s">
        <v>29</v>
      </c>
      <c r="AQ12" s="9">
        <v>250000.0</v>
      </c>
      <c r="AR12" s="9">
        <v>300000.0</v>
      </c>
      <c r="AS12" s="9">
        <v>180000.0</v>
      </c>
      <c r="BD12" s="2"/>
      <c r="BE12" s="9"/>
      <c r="BF12" s="19"/>
      <c r="BG12" s="18" t="s">
        <v>29</v>
      </c>
      <c r="BH12" s="9">
        <v>250000.0</v>
      </c>
      <c r="BI12" s="9">
        <v>300000.0</v>
      </c>
      <c r="BJ12" s="9">
        <v>180000.0</v>
      </c>
      <c r="BU12" s="2"/>
      <c r="BV12" s="9"/>
      <c r="BW12" s="19"/>
      <c r="BX12" s="18" t="s">
        <v>29</v>
      </c>
      <c r="BY12" s="9">
        <v>250000.0</v>
      </c>
      <c r="BZ12" s="9">
        <v>300000.0</v>
      </c>
      <c r="CA12" s="9">
        <v>180000.0</v>
      </c>
      <c r="CL12" s="2"/>
      <c r="CM12" s="9"/>
      <c r="CN12" s="19"/>
      <c r="CO12" s="18" t="s">
        <v>29</v>
      </c>
      <c r="CP12" s="9">
        <v>250000.0</v>
      </c>
      <c r="CQ12" s="9">
        <v>300000.0</v>
      </c>
      <c r="CR12" s="9">
        <v>180000.0</v>
      </c>
      <c r="DC12" s="2"/>
      <c r="DD12" s="9"/>
      <c r="DE12" s="19"/>
      <c r="DF12" s="18" t="s">
        <v>29</v>
      </c>
      <c r="DG12" s="9">
        <v>250000.0</v>
      </c>
      <c r="DH12" s="9">
        <v>300000.0</v>
      </c>
      <c r="DI12" s="9">
        <v>180000.0</v>
      </c>
      <c r="DT12" s="2"/>
      <c r="DU12" s="9"/>
      <c r="DV12" s="19"/>
      <c r="DW12" s="18" t="s">
        <v>29</v>
      </c>
      <c r="DX12" s="2" t="s">
        <v>30</v>
      </c>
      <c r="DY12" s="2">
        <v>1.0</v>
      </c>
      <c r="DZ12" s="9">
        <v>250000.0</v>
      </c>
      <c r="EA12" s="9">
        <v>300000.0</v>
      </c>
      <c r="EB12" s="9">
        <v>180000.0</v>
      </c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19"/>
      <c r="EN12" s="18" t="s">
        <v>29</v>
      </c>
      <c r="EO12" s="2" t="s">
        <v>30</v>
      </c>
      <c r="EP12" s="2">
        <v>1.0</v>
      </c>
      <c r="EQ12" s="9">
        <v>250000.0</v>
      </c>
      <c r="ER12" s="9">
        <v>300000.0</v>
      </c>
      <c r="ES12" s="9">
        <v>180000.0</v>
      </c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19"/>
      <c r="FE12" s="18" t="s">
        <v>29</v>
      </c>
      <c r="FF12" s="2" t="s">
        <v>30</v>
      </c>
      <c r="FG12" s="2">
        <v>10.0</v>
      </c>
      <c r="FH12" s="9">
        <v>250000.0</v>
      </c>
      <c r="FI12" s="9">
        <v>300000.0</v>
      </c>
      <c r="FJ12" s="9">
        <v>180000.0</v>
      </c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19"/>
      <c r="FV12" s="9"/>
      <c r="FW12" s="9"/>
      <c r="FX12" s="9"/>
      <c r="FY12" s="9"/>
      <c r="FZ12" s="9"/>
      <c r="GA12" s="9"/>
    </row>
    <row r="13">
      <c r="A13" s="2" t="s">
        <v>31</v>
      </c>
      <c r="B13" s="9">
        <v>200000.0</v>
      </c>
      <c r="C13" s="9">
        <v>220000.0</v>
      </c>
      <c r="D13" s="9">
        <v>180000.0</v>
      </c>
      <c r="J13" s="1"/>
      <c r="K13" s="9"/>
      <c r="L13" s="9"/>
      <c r="M13" s="18" t="s">
        <v>31</v>
      </c>
      <c r="N13" s="9">
        <v>200000.0</v>
      </c>
      <c r="O13" s="9">
        <v>220000.0</v>
      </c>
      <c r="P13" s="9">
        <v>180000.0</v>
      </c>
      <c r="V13" s="1"/>
      <c r="W13" s="9"/>
      <c r="X13" s="9"/>
      <c r="Y13" s="18" t="s">
        <v>31</v>
      </c>
      <c r="Z13" s="9">
        <v>200000.0</v>
      </c>
      <c r="AA13" s="9">
        <v>220000.0</v>
      </c>
      <c r="AB13" s="9">
        <v>180000.0</v>
      </c>
      <c r="AM13" s="1"/>
      <c r="AN13" s="9"/>
      <c r="AO13" s="19"/>
      <c r="AP13" s="2" t="s">
        <v>31</v>
      </c>
      <c r="AQ13" s="9">
        <v>200000.0</v>
      </c>
      <c r="AR13" s="9">
        <v>220000.0</v>
      </c>
      <c r="AS13" s="9">
        <v>180000.0</v>
      </c>
      <c r="BD13" s="1"/>
      <c r="BE13" s="9"/>
      <c r="BF13" s="19"/>
      <c r="BG13" s="18" t="s">
        <v>31</v>
      </c>
      <c r="BH13" s="9">
        <v>200000.0</v>
      </c>
      <c r="BI13" s="9">
        <v>220000.0</v>
      </c>
      <c r="BJ13" s="9">
        <v>180000.0</v>
      </c>
      <c r="BU13" s="1"/>
      <c r="BV13" s="9"/>
      <c r="BW13" s="19"/>
      <c r="BX13" s="18" t="s">
        <v>31</v>
      </c>
      <c r="BY13" s="9">
        <v>200000.0</v>
      </c>
      <c r="BZ13" s="9">
        <v>220000.0</v>
      </c>
      <c r="CA13" s="9">
        <v>180000.0</v>
      </c>
      <c r="CL13" s="1"/>
      <c r="CM13" s="9"/>
      <c r="CN13" s="19"/>
      <c r="CO13" s="18" t="s">
        <v>31</v>
      </c>
      <c r="CP13" s="9">
        <v>200000.0</v>
      </c>
      <c r="CQ13" s="9">
        <v>220000.0</v>
      </c>
      <c r="CR13" s="9">
        <v>180000.0</v>
      </c>
      <c r="DC13" s="1"/>
      <c r="DD13" s="9"/>
      <c r="DE13" s="19"/>
      <c r="DF13" s="18" t="s">
        <v>31</v>
      </c>
      <c r="DG13" s="9">
        <v>200000.0</v>
      </c>
      <c r="DH13" s="9">
        <v>220000.0</v>
      </c>
      <c r="DI13" s="9">
        <v>180000.0</v>
      </c>
      <c r="DT13" s="1"/>
      <c r="DU13" s="9"/>
      <c r="DV13" s="19"/>
      <c r="DW13" s="18" t="s">
        <v>31</v>
      </c>
      <c r="DX13" s="2" t="s">
        <v>30</v>
      </c>
      <c r="DY13" s="2">
        <v>1.0</v>
      </c>
      <c r="DZ13" s="9">
        <v>200000.0</v>
      </c>
      <c r="EA13" s="9">
        <v>220000.0</v>
      </c>
      <c r="EB13" s="9">
        <v>180000.0</v>
      </c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19"/>
      <c r="EN13" s="18" t="s">
        <v>31</v>
      </c>
      <c r="EO13" s="2" t="s">
        <v>30</v>
      </c>
      <c r="EP13" s="2">
        <v>1.0</v>
      </c>
      <c r="EQ13" s="9">
        <v>200000.0</v>
      </c>
      <c r="ER13" s="9">
        <v>220000.0</v>
      </c>
      <c r="ES13" s="9">
        <v>180000.0</v>
      </c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19"/>
      <c r="FE13" s="18" t="s">
        <v>31</v>
      </c>
      <c r="FF13" s="2" t="s">
        <v>30</v>
      </c>
      <c r="FG13" s="2">
        <v>10.0</v>
      </c>
      <c r="FH13" s="9">
        <v>200000.0</v>
      </c>
      <c r="FI13" s="9">
        <v>220000.0</v>
      </c>
      <c r="FJ13" s="9">
        <v>180000.0</v>
      </c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19"/>
      <c r="FV13" s="9"/>
      <c r="FW13" s="9"/>
      <c r="FX13" s="9"/>
      <c r="FY13" s="9"/>
      <c r="FZ13" s="9"/>
      <c r="GA13" s="9"/>
    </row>
    <row r="14">
      <c r="B14" s="9"/>
      <c r="C14" s="9"/>
      <c r="D14" s="9"/>
      <c r="J14" s="2"/>
      <c r="K14" s="9"/>
      <c r="L14" s="9"/>
      <c r="M14" s="20"/>
      <c r="N14" s="9"/>
      <c r="O14" s="9"/>
      <c r="P14" s="9"/>
      <c r="V14" s="2"/>
      <c r="W14" s="9"/>
      <c r="X14" s="9"/>
      <c r="Y14" s="3" t="s">
        <v>32</v>
      </c>
      <c r="Z14" s="9"/>
      <c r="AA14" s="9"/>
      <c r="AB14" s="9"/>
      <c r="AM14" s="2"/>
      <c r="AN14" s="9"/>
      <c r="AO14" s="19"/>
      <c r="AP14" s="1" t="s">
        <v>32</v>
      </c>
      <c r="AQ14" s="9"/>
      <c r="AR14" s="9"/>
      <c r="AS14" s="9"/>
      <c r="BD14" s="2"/>
      <c r="BE14" s="9"/>
      <c r="BF14" s="19"/>
      <c r="BG14" s="3" t="s">
        <v>33</v>
      </c>
      <c r="BH14" s="9"/>
      <c r="BI14" s="9"/>
      <c r="BJ14" s="9"/>
      <c r="BU14" s="2"/>
      <c r="BV14" s="9"/>
      <c r="BW14" s="19"/>
      <c r="BX14" s="3" t="s">
        <v>33</v>
      </c>
      <c r="BY14" s="9"/>
      <c r="BZ14" s="9"/>
      <c r="CA14" s="9"/>
      <c r="CL14" s="2"/>
      <c r="CM14" s="9"/>
      <c r="CN14" s="19"/>
      <c r="CO14" s="3" t="s">
        <v>34</v>
      </c>
      <c r="CP14" s="9"/>
      <c r="CQ14" s="21" t="s">
        <v>35</v>
      </c>
      <c r="CR14" s="9"/>
      <c r="CT14" s="21" t="s">
        <v>36</v>
      </c>
      <c r="DC14" s="2"/>
      <c r="DD14" s="9"/>
      <c r="DE14" s="19"/>
      <c r="DF14" s="3" t="s">
        <v>34</v>
      </c>
      <c r="DG14" s="9"/>
      <c r="DH14" s="21" t="s">
        <v>35</v>
      </c>
      <c r="DI14" s="9"/>
      <c r="DK14" s="21" t="s">
        <v>36</v>
      </c>
      <c r="DT14" s="2"/>
      <c r="DU14" s="9"/>
      <c r="DV14" s="19"/>
      <c r="DW14" s="1" t="s">
        <v>37</v>
      </c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19"/>
      <c r="EN14" s="1" t="s">
        <v>37</v>
      </c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19"/>
      <c r="FE14" s="1" t="s">
        <v>37</v>
      </c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19"/>
      <c r="FV14" s="9"/>
      <c r="FW14" s="9"/>
      <c r="FX14" s="9"/>
      <c r="FY14" s="9"/>
      <c r="FZ14" s="9"/>
      <c r="GA14" s="9"/>
    </row>
    <row r="15">
      <c r="A15" s="1"/>
      <c r="J15" s="1"/>
      <c r="M15" s="3"/>
      <c r="V15" s="1"/>
      <c r="Y15" s="22">
        <v>2000000.0</v>
      </c>
      <c r="AM15" s="1"/>
      <c r="AO15" s="4"/>
      <c r="AP15" s="9">
        <v>20000.0</v>
      </c>
      <c r="BD15" s="1"/>
      <c r="BF15" s="4"/>
      <c r="BG15" s="22">
        <v>4500000.0</v>
      </c>
      <c r="BU15" s="1"/>
      <c r="BW15" s="4"/>
      <c r="BX15" s="22">
        <v>10000.0</v>
      </c>
      <c r="CL15" s="1"/>
      <c r="CN15" s="4"/>
      <c r="CO15" s="18">
        <v>2.0</v>
      </c>
      <c r="CP15" s="9"/>
      <c r="CQ15" s="9">
        <v>2.0</v>
      </c>
      <c r="CR15" s="9"/>
      <c r="CT15" s="2">
        <v>1.0</v>
      </c>
      <c r="DC15" s="1"/>
      <c r="DE15" s="4"/>
      <c r="DF15" s="18">
        <v>2.0</v>
      </c>
      <c r="DG15" s="9"/>
      <c r="DH15" s="9">
        <v>2.0</v>
      </c>
      <c r="DI15" s="9"/>
      <c r="DK15" s="2">
        <v>0.0</v>
      </c>
      <c r="DT15" s="1"/>
      <c r="DV15" s="4"/>
      <c r="DW15" s="2">
        <v>2.0</v>
      </c>
      <c r="EM15" s="4"/>
      <c r="EN15" s="2">
        <v>2.0</v>
      </c>
      <c r="FD15" s="4"/>
      <c r="FE15" s="2">
        <v>2.0</v>
      </c>
      <c r="FU15" s="4"/>
    </row>
    <row r="16">
      <c r="A16" s="23" t="s">
        <v>38</v>
      </c>
      <c r="B16" s="23" t="s">
        <v>39</v>
      </c>
      <c r="C16" s="23" t="s">
        <v>40</v>
      </c>
      <c r="D16" s="23" t="s">
        <v>41</v>
      </c>
      <c r="E16" s="23" t="s">
        <v>42</v>
      </c>
      <c r="F16" s="23" t="s">
        <v>43</v>
      </c>
      <c r="G16" s="23" t="s">
        <v>44</v>
      </c>
      <c r="H16" s="23" t="s">
        <v>45</v>
      </c>
      <c r="I16" s="23" t="s">
        <v>46</v>
      </c>
      <c r="J16" s="23" t="s">
        <v>47</v>
      </c>
      <c r="M16" s="20" t="s">
        <v>38</v>
      </c>
      <c r="N16" s="23" t="s">
        <v>39</v>
      </c>
      <c r="O16" s="23" t="s">
        <v>40</v>
      </c>
      <c r="P16" s="23" t="s">
        <v>41</v>
      </c>
      <c r="Q16" s="23" t="s">
        <v>42</v>
      </c>
      <c r="R16" s="23" t="s">
        <v>43</v>
      </c>
      <c r="S16" s="23" t="s">
        <v>44</v>
      </c>
      <c r="T16" s="23" t="s">
        <v>45</v>
      </c>
      <c r="U16" s="23" t="s">
        <v>46</v>
      </c>
      <c r="V16" s="23" t="s">
        <v>47</v>
      </c>
      <c r="Y16" s="20" t="s">
        <v>38</v>
      </c>
      <c r="Z16" s="23" t="s">
        <v>39</v>
      </c>
      <c r="AA16" s="23" t="s">
        <v>40</v>
      </c>
      <c r="AB16" s="23" t="s">
        <v>41</v>
      </c>
      <c r="AC16" s="2" t="s">
        <v>48</v>
      </c>
      <c r="AD16" s="2" t="s">
        <v>42</v>
      </c>
      <c r="AE16" s="2" t="s">
        <v>49</v>
      </c>
      <c r="AF16" s="2" t="s">
        <v>43</v>
      </c>
      <c r="AG16" s="2" t="s">
        <v>50</v>
      </c>
      <c r="AH16" s="2" t="s">
        <v>44</v>
      </c>
      <c r="AI16" s="2" t="s">
        <v>51</v>
      </c>
      <c r="AJ16" s="2" t="s">
        <v>45</v>
      </c>
      <c r="AK16" s="2" t="s">
        <v>52</v>
      </c>
      <c r="AL16" s="2" t="s">
        <v>46</v>
      </c>
      <c r="AM16" s="23" t="s">
        <v>47</v>
      </c>
      <c r="AO16" s="4"/>
      <c r="AP16" s="23" t="s">
        <v>38</v>
      </c>
      <c r="AQ16" s="23" t="s">
        <v>39</v>
      </c>
      <c r="AR16" s="23" t="s">
        <v>40</v>
      </c>
      <c r="AS16" s="23" t="s">
        <v>41</v>
      </c>
      <c r="AT16" s="2" t="s">
        <v>48</v>
      </c>
      <c r="AU16" s="2" t="s">
        <v>42</v>
      </c>
      <c r="AV16" s="2" t="s">
        <v>49</v>
      </c>
      <c r="AW16" s="2" t="s">
        <v>43</v>
      </c>
      <c r="AX16" s="2" t="s">
        <v>50</v>
      </c>
      <c r="AY16" s="2" t="s">
        <v>44</v>
      </c>
      <c r="AZ16" s="2" t="s">
        <v>51</v>
      </c>
      <c r="BA16" s="2" t="s">
        <v>45</v>
      </c>
      <c r="BB16" s="2" t="s">
        <v>52</v>
      </c>
      <c r="BC16" s="2" t="s">
        <v>46</v>
      </c>
      <c r="BD16" s="23" t="s">
        <v>47</v>
      </c>
      <c r="BF16" s="4"/>
      <c r="BG16" s="20" t="s">
        <v>38</v>
      </c>
      <c r="BH16" s="23" t="s">
        <v>39</v>
      </c>
      <c r="BI16" s="23" t="s">
        <v>40</v>
      </c>
      <c r="BJ16" s="23" t="s">
        <v>41</v>
      </c>
      <c r="BK16" s="2" t="s">
        <v>48</v>
      </c>
      <c r="BL16" s="2" t="s">
        <v>42</v>
      </c>
      <c r="BM16" s="2" t="s">
        <v>49</v>
      </c>
      <c r="BN16" s="2" t="s">
        <v>43</v>
      </c>
      <c r="BO16" s="2" t="s">
        <v>50</v>
      </c>
      <c r="BP16" s="2" t="s">
        <v>44</v>
      </c>
      <c r="BQ16" s="2" t="s">
        <v>51</v>
      </c>
      <c r="BR16" s="2" t="s">
        <v>45</v>
      </c>
      <c r="BS16" s="2" t="s">
        <v>52</v>
      </c>
      <c r="BT16" s="2" t="s">
        <v>46</v>
      </c>
      <c r="BU16" s="23" t="s">
        <v>47</v>
      </c>
      <c r="BW16" s="4"/>
      <c r="BX16" s="20" t="s">
        <v>38</v>
      </c>
      <c r="BY16" s="23" t="s">
        <v>39</v>
      </c>
      <c r="BZ16" s="23" t="s">
        <v>40</v>
      </c>
      <c r="CA16" s="23" t="s">
        <v>41</v>
      </c>
      <c r="CB16" s="2" t="s">
        <v>48</v>
      </c>
      <c r="CC16" s="2" t="s">
        <v>42</v>
      </c>
      <c r="CD16" s="2" t="s">
        <v>49</v>
      </c>
      <c r="CE16" s="2" t="s">
        <v>43</v>
      </c>
      <c r="CF16" s="2" t="s">
        <v>50</v>
      </c>
      <c r="CG16" s="2" t="s">
        <v>44</v>
      </c>
      <c r="CH16" s="2" t="s">
        <v>51</v>
      </c>
      <c r="CI16" s="2" t="s">
        <v>45</v>
      </c>
      <c r="CJ16" s="2" t="s">
        <v>52</v>
      </c>
      <c r="CK16" s="2" t="s">
        <v>46</v>
      </c>
      <c r="CL16" s="23" t="s">
        <v>47</v>
      </c>
      <c r="CN16" s="4"/>
      <c r="CO16" s="20" t="s">
        <v>38</v>
      </c>
      <c r="CP16" s="23" t="s">
        <v>39</v>
      </c>
      <c r="CQ16" s="23" t="s">
        <v>40</v>
      </c>
      <c r="CR16" s="23" t="s">
        <v>41</v>
      </c>
      <c r="CS16" s="2" t="s">
        <v>48</v>
      </c>
      <c r="CT16" s="2" t="s">
        <v>42</v>
      </c>
      <c r="CU16" s="2" t="s">
        <v>49</v>
      </c>
      <c r="CV16" s="2" t="s">
        <v>43</v>
      </c>
      <c r="CW16" s="2" t="s">
        <v>50</v>
      </c>
      <c r="CX16" s="2" t="s">
        <v>44</v>
      </c>
      <c r="CY16" s="2" t="s">
        <v>51</v>
      </c>
      <c r="CZ16" s="2" t="s">
        <v>45</v>
      </c>
      <c r="DA16" s="2" t="s">
        <v>52</v>
      </c>
      <c r="DB16" s="2" t="s">
        <v>46</v>
      </c>
      <c r="DC16" s="23" t="s">
        <v>47</v>
      </c>
      <c r="DE16" s="4"/>
      <c r="DF16" s="20" t="s">
        <v>38</v>
      </c>
      <c r="DG16" s="23" t="s">
        <v>39</v>
      </c>
      <c r="DH16" s="23" t="s">
        <v>40</v>
      </c>
      <c r="DI16" s="23" t="s">
        <v>41</v>
      </c>
      <c r="DJ16" s="2" t="s">
        <v>48</v>
      </c>
      <c r="DK16" s="2" t="s">
        <v>42</v>
      </c>
      <c r="DL16" s="2" t="s">
        <v>49</v>
      </c>
      <c r="DM16" s="2" t="s">
        <v>43</v>
      </c>
      <c r="DN16" s="2" t="s">
        <v>50</v>
      </c>
      <c r="DO16" s="2" t="s">
        <v>44</v>
      </c>
      <c r="DP16" s="2" t="s">
        <v>51</v>
      </c>
      <c r="DQ16" s="2" t="s">
        <v>45</v>
      </c>
      <c r="DR16" s="2" t="s">
        <v>52</v>
      </c>
      <c r="DS16" s="2" t="s">
        <v>46</v>
      </c>
      <c r="DT16" s="23" t="s">
        <v>47</v>
      </c>
      <c r="DV16" s="4"/>
      <c r="DW16" s="1" t="s">
        <v>53</v>
      </c>
      <c r="EM16" s="4"/>
      <c r="EN16" s="1" t="s">
        <v>53</v>
      </c>
      <c r="FD16" s="4"/>
      <c r="FE16" s="1" t="s">
        <v>53</v>
      </c>
      <c r="FU16" s="4"/>
    </row>
    <row r="17">
      <c r="A17" s="23" t="s">
        <v>27</v>
      </c>
      <c r="B17" s="2">
        <v>30.0</v>
      </c>
      <c r="C17" s="9">
        <f>B11</f>
        <v>200000</v>
      </c>
      <c r="D17" s="9">
        <f t="shared" ref="D17:D19" si="1">B17*C17</f>
        <v>6000000</v>
      </c>
      <c r="E17" s="24">
        <f>IF(SUM($D$17:$D$19)&gt;=$B3,$E3/3, "0")</f>
        <v>666.6666667</v>
      </c>
      <c r="F17" s="24">
        <f t="shared" ref="F17:F19" si="2">IF(SUM($D$17:$D$19)&gt;=$B$4,$E$4/3, "0")</f>
        <v>1166.666667</v>
      </c>
      <c r="G17" s="24">
        <f t="shared" ref="G17:G19" si="3">IF(SUM($D$17:$D$19)&gt;=$B$5,$E$5/3, "0")</f>
        <v>1666.666667</v>
      </c>
      <c r="H17" s="24">
        <f t="shared" ref="H17:H19" si="4">IF(SUM($D$17:$D$19)&gt;=$B$6,$E$6/3, "0")</f>
        <v>2166.666667</v>
      </c>
      <c r="I17" s="24">
        <f t="shared" ref="I17:I19" si="5">IF(SUM($D$17:$D$19)&gt;=$B$7,$E$7/3, "0")</f>
        <v>2666.666667</v>
      </c>
      <c r="J17" s="25">
        <f t="shared" ref="J17:J19" si="6">D17-E17-F17-G17-H17-I17</f>
        <v>5991666.667</v>
      </c>
      <c r="L17" s="9"/>
      <c r="M17" s="20" t="s">
        <v>27</v>
      </c>
      <c r="N17" s="2">
        <v>3.0</v>
      </c>
      <c r="O17" s="9">
        <f>N11</f>
        <v>200000</v>
      </c>
      <c r="P17" s="9">
        <f t="shared" ref="P17:P19" si="7">N17*O17</f>
        <v>600000</v>
      </c>
      <c r="Q17" s="24" t="str">
        <f t="shared" ref="Q17:Q19" si="8">IF(SUM($P$17:$P$19)&gt;=$N$3, Q3/3, "0")</f>
        <v>0</v>
      </c>
      <c r="R17" s="24" t="str">
        <f t="shared" ref="R17:R19" si="9">IF(SUM($P$17:$P$19)&gt;=$N$4, $Q$4/3, "0")</f>
        <v>0</v>
      </c>
      <c r="S17" s="24" t="str">
        <f t="shared" ref="S17:S19" si="10">IF(SUM($P$17:$P$19)&gt;=$N$5, $Q$5/3, "0")</f>
        <v>0</v>
      </c>
      <c r="T17" s="24" t="str">
        <f t="shared" ref="T17:T19" si="11">IF(SUM($P$17:$P$19)&gt;=$N$6, $Q$6/3, "0")</f>
        <v>0</v>
      </c>
      <c r="U17" s="24" t="str">
        <f t="shared" ref="U17:U19" si="12">IF(SUM($P$17:$P$19)&gt;=$N$7, $Q$7/3, "0")</f>
        <v>0</v>
      </c>
      <c r="V17" s="25">
        <f t="shared" ref="V17:V19" si="13">P17-Q17-R17-S17-T17-U17</f>
        <v>600000</v>
      </c>
      <c r="X17" s="9"/>
      <c r="Y17" s="20" t="s">
        <v>27</v>
      </c>
      <c r="Z17" s="2">
        <v>30.0</v>
      </c>
      <c r="AA17" s="9">
        <f>Z11</f>
        <v>200000</v>
      </c>
      <c r="AB17" s="9">
        <f t="shared" ref="AB17:AB19" si="14">Z17*AA17</f>
        <v>6000000</v>
      </c>
      <c r="AC17" s="24">
        <f t="shared" ref="AC17:AC19" si="15">IF(SUM($AB$17:$AB$19)&gt;=$Z$3, $AC$3/3, "0")</f>
        <v>666.6666667</v>
      </c>
      <c r="AD17" s="24">
        <f t="shared" ref="AD17:AD19" si="16">IF(SUM($AC$17:$AC$19,$AE$17:$AE$19,$AG$17:$AG$19,$AI$17:$AI$19,$AK$17:$AK$19)&gt;=$Y$15,0,AC17)</f>
        <v>666.6666667</v>
      </c>
      <c r="AE17" s="24">
        <f t="shared" ref="AE17:AE19" si="17">IF(SUM($AB$17:$AB$19)&gt;=$Z$4, $AC$4/3, "0")</f>
        <v>1166.666667</v>
      </c>
      <c r="AF17" s="24">
        <f t="shared" ref="AF17:AF19" si="18">IF(SUM($AC$17:$AC$19,$AE$17:$AE$19,$AG$17:$AG$19,$AI$17:$AI$19,$AK$17:$AK$19)&gt;=$Y$15,0,AE17)</f>
        <v>1166.666667</v>
      </c>
      <c r="AG17" s="24">
        <f t="shared" ref="AG17:AG19" si="19">IF(SUM($AB$17:$AB$19)&gt;=$Z$5, $AC$5/3, "0")</f>
        <v>1666.666667</v>
      </c>
      <c r="AH17" s="24">
        <f t="shared" ref="AH17:AH19" si="20">IF(SUM($AC$17:$AC$19,$AE$17:$AE$19,$AG$17:$AG$19,$AI$17:$AI$19,$AK$17:$AK$19)&gt;=$Y$15,0,AG17)</f>
        <v>1666.666667</v>
      </c>
      <c r="AI17" s="24" t="str">
        <f t="shared" ref="AI17:AI19" si="21">IF(SUM($AB$17:$AB$19)&gt;=$Z$6, $AC$6/3, "0")</f>
        <v>0</v>
      </c>
      <c r="AJ17" s="24" t="str">
        <f t="shared" ref="AJ17:AJ19" si="22">IF(SUM($AC$17:$AC$19,$AE$17:$AE$19,$AG$17:$AG$19,$AI$17:$AI$19,$AK$17:$AK$19)&gt;=$Y$15,0,AI17)</f>
        <v>0</v>
      </c>
      <c r="AK17" s="24" t="str">
        <f t="shared" ref="AK17:AK19" si="23">IF(SUM($AB$17:$AB$19)&gt;=$Z$7, $AC$7/3, "0")</f>
        <v>0</v>
      </c>
      <c r="AL17" s="24" t="str">
        <f t="shared" ref="AL17:AL19" si="24">IF(SUM($AC$17:$AC$19,$AE$17:$AE$19,$AG$17:$AG$19,$AI$17:$AI$19,$AK$17:$AK$19)&gt;=$Y$15,0,AK17)</f>
        <v>0</v>
      </c>
      <c r="AM17" s="25">
        <f t="shared" ref="AM17:AM19" si="25">AB17-AD17-AF17-AH17-AJ17-AL17</f>
        <v>5996500</v>
      </c>
      <c r="AO17" s="19"/>
      <c r="AP17" s="23" t="s">
        <v>27</v>
      </c>
      <c r="AQ17" s="2">
        <v>30.0</v>
      </c>
      <c r="AR17" s="9">
        <f>AQ11</f>
        <v>200000</v>
      </c>
      <c r="AS17" s="9">
        <f t="shared" ref="AS17:AS19" si="26">AQ17*AR17</f>
        <v>6000000</v>
      </c>
      <c r="AT17" s="24">
        <f t="shared" ref="AT17:AT19" si="27">IF(SUM($AS$17:$AS$19)&gt;=$AQ$3, $AT$3/3, "0")</f>
        <v>666.6666667</v>
      </c>
      <c r="AU17" s="24">
        <f t="shared" ref="AU17:AU19" si="28">IF(SUM($AT$17:$AT$19,$AV$17:$AV$19,$AX$17:$AX$19,$AZ$17:$AZ$19,$BB$17:$BB$19)&gt;=$AP$15,0,AT17)</f>
        <v>0</v>
      </c>
      <c r="AV17" s="24">
        <f t="shared" ref="AV17:AV19" si="29">IF(SUM($AS$17:$AS$19)&gt;=$AQ$4, $AT$4/3, "0")</f>
        <v>1166.666667</v>
      </c>
      <c r="AW17" s="24">
        <f t="shared" ref="AW17:AW19" si="30">IF(SUM($AT$17:$AT$19,$AV$17:$AV$19,$AX$17:$AX$19,$AZ$17:$AZ$19,$BB$17:$BB$19)&gt;=$AP$15,0,AV17)</f>
        <v>0</v>
      </c>
      <c r="AX17" s="24">
        <f t="shared" ref="AX17:AX19" si="31">IF(SUM($AS$17:$AS$19)&gt;=$AQ$5, $AT$5/3, "0")</f>
        <v>1666.666667</v>
      </c>
      <c r="AY17" s="24">
        <f t="shared" ref="AY17:AY19" si="32">IF(SUM($AT$17:$AT$19,$AV$17:$AV$19,$AX$17:$AX$19,$AZ$17:$AZ$19,$BB$17:$BB$19)&gt;=$AP$15,0,AX17)</f>
        <v>0</v>
      </c>
      <c r="AZ17" s="24">
        <f t="shared" ref="AZ17:AZ19" si="33">IF(SUM($AS$17:$AS$19)&gt;=$AQ$6, $AT$6/3, "0")</f>
        <v>2166.666667</v>
      </c>
      <c r="BA17" s="24">
        <f t="shared" ref="BA17:BA19" si="34">IF(SUM($AT$17:$AT$19,$AV$17:$AV$19,$AX$17:$AX$19,$AZ$17:$AZ$19,$BB$17:$BB$19)&gt;=$AP$15,0,AZ17)</f>
        <v>0</v>
      </c>
      <c r="BB17" s="24">
        <f t="shared" ref="BB17:BB19" si="35">IF(SUM($AS$17:$AS$19)&gt;=$AQ$7, $AT$7/3, "0")</f>
        <v>2666.666667</v>
      </c>
      <c r="BC17" s="24">
        <f t="shared" ref="BC17:BC19" si="36">IF(SUM($AT$17:$AT$19,$AV$17:$AV$19,$AX$17:$AX$19,$AZ$17:$AZ$19,$BB$17:$BB$19)&gt;=$AP$15,0,BB17)</f>
        <v>0</v>
      </c>
      <c r="BD17" s="25">
        <f t="shared" ref="BD17:BD19" si="37">AS17-AU17-AW17-AY17-BA17-BC17</f>
        <v>6000000</v>
      </c>
      <c r="BF17" s="19"/>
      <c r="BG17" s="20" t="s">
        <v>27</v>
      </c>
      <c r="BH17" s="2">
        <v>30.0</v>
      </c>
      <c r="BI17" s="9">
        <f>BH11</f>
        <v>200000</v>
      </c>
      <c r="BJ17" s="9">
        <f t="shared" ref="BJ17:BJ20" si="38">BH17*BI17</f>
        <v>6000000</v>
      </c>
      <c r="BK17" s="24">
        <f t="shared" ref="BK17:BK19" si="39">IF(SUM($BJ$17:$BJ$19)&gt;=BH$3, $BK$3/3, "0")</f>
        <v>666.6666667</v>
      </c>
      <c r="BL17" s="24">
        <f t="shared" ref="BL17:BL19" si="40">IF(SUM($BK$17:$BK$19,$BM$17:$BM$19,$BO$17:$BO$19,$BQ$17:$BQ$19,$BS$17:$BS$19)&gt;=$BG$15,0,BK17)</f>
        <v>666.6666667</v>
      </c>
      <c r="BM17" s="24">
        <f t="shared" ref="BM17:BM19" si="41">IF(SUM($BJ$17:$BJ$19)&gt;=$BH$4, $BK$4/3, "0")</f>
        <v>1166.666667</v>
      </c>
      <c r="BN17" s="24">
        <f t="shared" ref="BN17:BN19" si="42">IF(SUM($BK$17:$BK$19,$BM$17:$BM$19,$BO$17:$BO$19,$BQ$17:$BQ$19,$BS$17:$BS$19)&gt;=$BG$15,0,BM17)</f>
        <v>1166.666667</v>
      </c>
      <c r="BO17" s="24">
        <f t="shared" ref="BO17:BO19" si="43">IF(SUM($BJ$17:$BJ$19)&gt;=$BH$5, $BK$5/3, "0")</f>
        <v>1666.666667</v>
      </c>
      <c r="BP17" s="24">
        <f t="shared" ref="BP17:BP19" si="44">IF(SUM($BK$17:$BK$19,$BM$17:$BM$19,$BO$17:$BO$19,$BQ$17:$BQ$19,$BS$17:$BS$19)&gt;=$BG$15,0,BO17)</f>
        <v>1666.666667</v>
      </c>
      <c r="BQ17" s="24">
        <f t="shared" ref="BQ17:BQ19" si="45">IF(SUM($BJ$17:$BJ$19)&gt;=$BH$6, $BK$6/3, "0")</f>
        <v>2166.666667</v>
      </c>
      <c r="BR17" s="24">
        <f t="shared" ref="BR17:BR19" si="46">IF(SUM($BK$17:$BK$19,$BM$17:$BM$19,$BO$17:$BO$19,$BQ$17:$BQ$19,$BS$17:$BS$19)&gt;=$BG$15,0,BQ17)</f>
        <v>2166.666667</v>
      </c>
      <c r="BS17" s="24">
        <f t="shared" ref="BS17:BS19" si="47">IF(SUM($BJ$17:$BJ$19)&gt;=$BH$7, $BK$7/3, "0")</f>
        <v>2666.666667</v>
      </c>
      <c r="BT17" s="24">
        <f t="shared" ref="BT17:BT19" si="48">IF(SUM($BK$17:$BK$19,$BM$17:$BM$19,$BO$17:$BO$19,$BQ$17:$BQ$19,$BS$17:$BS$19)&gt;=$BG$15,0,BS17)</f>
        <v>2666.666667</v>
      </c>
      <c r="BU17" s="25">
        <f t="shared" ref="BU17:BU20" si="49">BJ17-BL17-BN17-BP17-BR17-BT17</f>
        <v>5991666.667</v>
      </c>
      <c r="BW17" s="19"/>
      <c r="BX17" s="20" t="s">
        <v>27</v>
      </c>
      <c r="BY17" s="2">
        <v>25.0</v>
      </c>
      <c r="BZ17" s="9">
        <f>BY11</f>
        <v>200000</v>
      </c>
      <c r="CA17" s="9">
        <f t="shared" ref="CA17:CA19" si="50">BY17*BZ17</f>
        <v>5000000</v>
      </c>
      <c r="CB17" s="24">
        <f t="shared" ref="CB17:CB19" si="51">IF(SUM($CA$17:$CA$19)&gt;=BY$3, $CB$3/3, "0")</f>
        <v>666.6666667</v>
      </c>
      <c r="CC17" s="24">
        <f t="shared" ref="CC17:CC19" si="52">IF(SUM($CB$17:$CB$19,$CD$17:$CD$19,$CF$17:$CF$19,$CH$17:$CH$19,$CJ$17:$CJ$19)&gt;=$BX$15,0,CB17)</f>
        <v>0</v>
      </c>
      <c r="CD17" s="24">
        <f t="shared" ref="CD17:CD19" si="53">IF(SUM($CA$17:$CA$19)&gt;=BY$4, $CB$4/3, "0")</f>
        <v>1166.666667</v>
      </c>
      <c r="CE17" s="24">
        <f t="shared" ref="CE17:CE19" si="54">IF(SUM($CB$17:$CB$19,$CD$17:$CD$19,$CF$17:$CF$19,$CH$17:$CH$19,$CJ$17:$CJ$19)&gt;=$BX$15,0,CD17)</f>
        <v>0</v>
      </c>
      <c r="CF17" s="24">
        <f t="shared" ref="CF17:CF19" si="55">IF(SUM($CA$17:$CA$19)&gt;=$BY$5, $CB$5/3, "0")</f>
        <v>1666.666667</v>
      </c>
      <c r="CG17" s="24">
        <f t="shared" ref="CG17:CG19" si="56">IF(SUM($CB$17:$CB$19,$CD$17:$CD$19,$CF$17:$CF$19,$CH$17:$CH$19,$CJ$17:$CJ$19)&gt;=$BX$15,0,CF17)</f>
        <v>0</v>
      </c>
      <c r="CH17" s="24" t="str">
        <f t="shared" ref="CH17:CH19" si="57">IF(SUM($CA$17:$CA$19)&gt;=$BY$6, $CB$6/3, "0")</f>
        <v>0</v>
      </c>
      <c r="CI17" s="24">
        <f t="shared" ref="CI17:CI19" si="58">IF(SUM($CB$17:$CB$19,$CD$17:$CD$19,$CF$17:$CF$19,$CH$17:$CH$19,$CJ$17:$CJ$19)&gt;=$BX$15,0,CH17)</f>
        <v>0</v>
      </c>
      <c r="CJ17" s="24" t="str">
        <f t="shared" ref="CJ17:CJ19" si="59">IF(SUM($CA$17:$CA$19)&gt;=$BY$7, $CB$7/3, "0")</f>
        <v>0</v>
      </c>
      <c r="CK17" s="24">
        <f t="shared" ref="CK17:CK19" si="60">IF(SUM($CB$17:$CB$19,$CD$17:$CD$19,$CF$17:$CF$19,$CH$17:$CH$19,$CJ$17:$CJ$19)&gt;=$BX$15,0,CJ17)</f>
        <v>0</v>
      </c>
      <c r="CL17" s="25">
        <f t="shared" ref="CL17:CL19" si="61">CA17-CC17-CE17-CG17-CI17-CK17</f>
        <v>5000000</v>
      </c>
      <c r="CN17" s="19"/>
      <c r="CO17" s="20" t="s">
        <v>27</v>
      </c>
      <c r="CP17" s="2">
        <v>30.0</v>
      </c>
      <c r="CQ17" s="9">
        <f>CP11</f>
        <v>200000</v>
      </c>
      <c r="CR17" s="9">
        <f t="shared" ref="CR17:CR19" si="62">CP17*CQ17</f>
        <v>6000000</v>
      </c>
      <c r="CS17" s="24">
        <f t="shared" ref="CS17:CS18" si="63">IF(SUM($CR$17:$CR$18)&gt;=CP$3, $CS$3/2, "0")</f>
        <v>1000</v>
      </c>
      <c r="CT17" s="24">
        <f t="shared" ref="CT17:CT18" si="64">(IF($CQ$15-$CT$15&gt;=$CO$15,"0", IF(SUM($CS$17:$CS$19,$CU$17:$CU$19,$CW$17:$CW$19,$CY$17:$CY$19,$DA$17:$DA$19)&gt;=$BG$15,0,CS17)))</f>
        <v>1000</v>
      </c>
      <c r="CU17" s="24">
        <f t="shared" ref="CU17:CU18" si="65">IF(SUM($CR$17:$CR$18)&gt;=$CP$4, $CS$4/2, "0")</f>
        <v>1750</v>
      </c>
      <c r="CV17" s="24">
        <f t="shared" ref="CV17:CV18" si="66">(IF($CQ$15-$CT$15&gt;=$CO$15,"0", IF(SUM($CS$17:$CS$19,$CU$17:$CU$19,$CW$17:$CW$19,$CY$17:$CY$19,$DA$17:$DA$19)&gt;=$BG$15,0,CU17)))</f>
        <v>1750</v>
      </c>
      <c r="CW17" s="24">
        <f t="shared" ref="CW17:CW18" si="67">IF(SUM($CR$17:$CR$18)&gt;=$CP$5, $CS$5/2, "0")</f>
        <v>2500</v>
      </c>
      <c r="CX17" s="24">
        <f t="shared" ref="CX17:CX18" si="68">(IF($CQ$15-$CT$15&gt;=$CO$15,"0", IF(SUM($CS$17:$CS$19,$CU$17:$CU$19,$CW$17:$CW$19,$CY$17:$CY$19,$DA$17:$DA$19)&gt;=$BG$15,0,CW17)))</f>
        <v>2500</v>
      </c>
      <c r="CY17" s="24" t="str">
        <f t="shared" ref="CY17:CY18" si="69">IF(SUM($CR$17:$CR$18)&gt;=$CP$6, $CS$6/2, "0")</f>
        <v>0</v>
      </c>
      <c r="CZ17" s="24" t="str">
        <f t="shared" ref="CZ17:CZ18" si="70">(IF($CQ$15-$CT$15&gt;=$CO$15,"0", IF(SUM($CS$17:$CS$19,$CU$17:$CU$19,$CW$17:$CW$19,$CY$17:$CY$19,$DA$17:$DA$19)&gt;=$BG$15,0,CY17)))</f>
        <v>0</v>
      </c>
      <c r="DA17" s="24" t="str">
        <f t="shared" ref="DA17:DA18" si="71">IF(SUM($CR$17:$CR$18)&gt;=$CP$7, $CS$7/2, "0")</f>
        <v>0</v>
      </c>
      <c r="DB17" s="24" t="str">
        <f t="shared" ref="DB17:DB18" si="72">(IF($CQ$15-$CT$15&gt;=$CO$15,"0", IF(SUM($CS$17:$CS$19,$CU$17:$CU$19,$CW$17:$CW$19,$CY$17:$CY$19,$DA$17:$DA$19)&gt;=$BG$15,0,DA17)))</f>
        <v>0</v>
      </c>
      <c r="DC17" s="25">
        <f t="shared" ref="DC17:DC19" si="73">CR17-CT17-CV17-CX17-CZ17-DB17</f>
        <v>5994750</v>
      </c>
      <c r="DE17" s="19"/>
      <c r="DF17" s="20" t="s">
        <v>27</v>
      </c>
      <c r="DG17" s="2">
        <v>30.0</v>
      </c>
      <c r="DH17" s="9">
        <f>DG11</f>
        <v>200000</v>
      </c>
      <c r="DI17" s="9">
        <f t="shared" ref="DI17:DI19" si="74">DG17*DH17</f>
        <v>6000000</v>
      </c>
      <c r="DJ17" s="24">
        <f t="shared" ref="DJ17:DJ19" si="75">IF(SUM($DI$17:$DI$19)&gt;=DG$3,$DJ$3/3, "0")</f>
        <v>666.6666667</v>
      </c>
      <c r="DK17" s="24" t="str">
        <f t="shared" ref="DK17:DK19" si="76">(IF($DF$15-$DH$15&gt;=$DK$15,"0", IF(SUM($DJ$17:$DJ$19,$DL$17:$DL$19,$DN$17:$DN$19,$DP$17:$DP$19,$DR$17:$DR$19)&gt;=$BG$15,0,DJ17)))</f>
        <v>0</v>
      </c>
      <c r="DL17" s="24">
        <f t="shared" ref="DL17:DL19" si="77">IF(SUM($DI$17:$DI$19)&gt;=$DG$4, $DJ$4/3, "0")</f>
        <v>1166.666667</v>
      </c>
      <c r="DM17" s="24" t="str">
        <f t="shared" ref="DM17:DM19" si="78">(IF($DF$15-$DH$15&gt;=$DK$15,"0", IF(SUM($DJ$17:$DJ$19,$DL$17:$DL$19,$DN$17:$DN$19,$DP$17:$DP$19,$DR$17:$DR$19)&gt;=$BG$15,0,DL17)))</f>
        <v>0</v>
      </c>
      <c r="DN17" s="24">
        <f t="shared" ref="DN17:DN19" si="79">IF(SUM($DI$17:$DI$19)&gt;=$DG$5, $DJ$5/3, "0")</f>
        <v>1666.666667</v>
      </c>
      <c r="DO17" s="24" t="str">
        <f t="shared" ref="DO17:DO19" si="80">(IF($DF$15-$DH$15&gt;=$DK$15,"0", IF(SUM($DJ$17:$DJ$19,$DL$17:$DL$19,$DN$17:$DN$19,$DP$17:$DP$19,$DR$17:$DR$19)&gt;=$BG$15,0,DN17)))</f>
        <v>0</v>
      </c>
      <c r="DP17" s="24">
        <f t="shared" ref="DP17:DP19" si="81">IF(SUM($DI$17:$DI$19)&gt;=$DG$6, $DJ$6/3, "0")</f>
        <v>2166.666667</v>
      </c>
      <c r="DQ17" s="24" t="str">
        <f t="shared" ref="DQ17:DQ19" si="82">(IF($DF$15-$DH$15&gt;=$DK$15,"0", IF(SUM($DJ$17:$DJ$19,$DL$17:$DL$19,$DN$17:$DN$19,$DP$17:$DP$19,$DR$17:$DR$19)&gt;=$BG$15,0,DP17)))</f>
        <v>0</v>
      </c>
      <c r="DR17" s="24">
        <f t="shared" ref="DR17:DR19" si="83">IF(SUM($DI$17:$DI$19)&gt;=$DG$7, $DJ$7/3, "0")</f>
        <v>2666.666667</v>
      </c>
      <c r="DS17" s="24" t="str">
        <f t="shared" ref="DS17:DS19" si="84">(IF($DF$15-$DH$15&gt;=$DK$15,"0", IF(SUM($DJ$17:$DJ$19,$DL$17:$DL$19,$DN$17:$DN$19,$DP$17:$DP$19,$DR$17:$DR$19)&gt;=$BG$15,0,DR17)))</f>
        <v>0</v>
      </c>
      <c r="DT17" s="25">
        <f t="shared" ref="DT17:DT19" si="85">DI17-DK17-DM17-DO17-DQ17-DS17</f>
        <v>6000000</v>
      </c>
      <c r="DV17" s="19"/>
      <c r="DW17" s="2" t="s">
        <v>38</v>
      </c>
      <c r="DX17" s="2" t="s">
        <v>39</v>
      </c>
      <c r="DY17" s="2" t="s">
        <v>40</v>
      </c>
      <c r="DZ17" s="2" t="s">
        <v>41</v>
      </c>
      <c r="EA17" s="2" t="s">
        <v>48</v>
      </c>
      <c r="EB17" s="2" t="s">
        <v>42</v>
      </c>
      <c r="EC17" s="2" t="s">
        <v>49</v>
      </c>
      <c r="ED17" s="2" t="s">
        <v>43</v>
      </c>
      <c r="EE17" s="2" t="s">
        <v>50</v>
      </c>
      <c r="EF17" s="2" t="s">
        <v>44</v>
      </c>
      <c r="EG17" s="2" t="s">
        <v>51</v>
      </c>
      <c r="EH17" s="2" t="s">
        <v>45</v>
      </c>
      <c r="EI17" s="2" t="s">
        <v>52</v>
      </c>
      <c r="EJ17" s="2" t="s">
        <v>46</v>
      </c>
      <c r="EK17" s="23" t="s">
        <v>47</v>
      </c>
      <c r="EM17" s="19"/>
      <c r="EN17" s="2" t="s">
        <v>38</v>
      </c>
      <c r="EO17" s="2" t="s">
        <v>39</v>
      </c>
      <c r="EP17" s="2" t="s">
        <v>40</v>
      </c>
      <c r="EQ17" s="2" t="s">
        <v>41</v>
      </c>
      <c r="ER17" s="2" t="s">
        <v>48</v>
      </c>
      <c r="ES17" s="2" t="s">
        <v>42</v>
      </c>
      <c r="ET17" s="2" t="s">
        <v>49</v>
      </c>
      <c r="EU17" s="2" t="s">
        <v>43</v>
      </c>
      <c r="EV17" s="2" t="s">
        <v>50</v>
      </c>
      <c r="EW17" s="2" t="s">
        <v>44</v>
      </c>
      <c r="EX17" s="2" t="s">
        <v>51</v>
      </c>
      <c r="EY17" s="2" t="s">
        <v>45</v>
      </c>
      <c r="EZ17" s="2" t="s">
        <v>52</v>
      </c>
      <c r="FA17" s="2" t="s">
        <v>46</v>
      </c>
      <c r="FB17" s="23" t="s">
        <v>47</v>
      </c>
      <c r="FD17" s="19"/>
      <c r="FE17" s="2" t="s">
        <v>38</v>
      </c>
      <c r="FF17" s="2" t="s">
        <v>39</v>
      </c>
      <c r="FG17" s="2" t="s">
        <v>40</v>
      </c>
      <c r="FH17" s="2" t="s">
        <v>41</v>
      </c>
      <c r="FI17" s="2" t="s">
        <v>48</v>
      </c>
      <c r="FJ17" s="2" t="s">
        <v>42</v>
      </c>
      <c r="FK17" s="2" t="s">
        <v>49</v>
      </c>
      <c r="FL17" s="2" t="s">
        <v>43</v>
      </c>
      <c r="FM17" s="2" t="s">
        <v>50</v>
      </c>
      <c r="FN17" s="2" t="s">
        <v>44</v>
      </c>
      <c r="FO17" s="2" t="s">
        <v>51</v>
      </c>
      <c r="FP17" s="2" t="s">
        <v>45</v>
      </c>
      <c r="FQ17" s="2" t="s">
        <v>52</v>
      </c>
      <c r="FR17" s="2" t="s">
        <v>46</v>
      </c>
      <c r="FS17" s="23" t="s">
        <v>47</v>
      </c>
      <c r="FU17" s="19"/>
      <c r="FV17" s="9"/>
      <c r="FW17" s="9"/>
      <c r="FX17" s="9"/>
      <c r="FY17" s="9"/>
      <c r="FZ17" s="9"/>
      <c r="GA17" s="9"/>
    </row>
    <row r="18">
      <c r="A18" s="23" t="s">
        <v>29</v>
      </c>
      <c r="B18" s="2">
        <v>30.0</v>
      </c>
      <c r="C18" s="9">
        <f>C12</f>
        <v>300000</v>
      </c>
      <c r="D18" s="9">
        <f t="shared" si="1"/>
        <v>9000000</v>
      </c>
      <c r="E18" s="24">
        <f>IF(SUM($D$17:$D$19)&gt;=$B3,$E3/3, "0")</f>
        <v>666.6666667</v>
      </c>
      <c r="F18" s="24">
        <f t="shared" si="2"/>
        <v>1166.666667</v>
      </c>
      <c r="G18" s="24">
        <f t="shared" si="3"/>
        <v>1666.666667</v>
      </c>
      <c r="H18" s="24">
        <f t="shared" si="4"/>
        <v>2166.666667</v>
      </c>
      <c r="I18" s="24">
        <f t="shared" si="5"/>
        <v>2666.666667</v>
      </c>
      <c r="J18" s="25">
        <f t="shared" si="6"/>
        <v>8991666.667</v>
      </c>
      <c r="L18" s="9"/>
      <c r="M18" s="20" t="s">
        <v>29</v>
      </c>
      <c r="N18" s="2">
        <v>3.0</v>
      </c>
      <c r="O18" s="9">
        <f>O12</f>
        <v>300000</v>
      </c>
      <c r="P18" s="9">
        <f t="shared" si="7"/>
        <v>900000</v>
      </c>
      <c r="Q18" s="24" t="str">
        <f t="shared" si="8"/>
        <v>0</v>
      </c>
      <c r="R18" s="24" t="str">
        <f t="shared" si="9"/>
        <v>0</v>
      </c>
      <c r="S18" s="24" t="str">
        <f t="shared" si="10"/>
        <v>0</v>
      </c>
      <c r="T18" s="24" t="str">
        <f t="shared" si="11"/>
        <v>0</v>
      </c>
      <c r="U18" s="24" t="str">
        <f t="shared" si="12"/>
        <v>0</v>
      </c>
      <c r="V18" s="25">
        <f t="shared" si="13"/>
        <v>900000</v>
      </c>
      <c r="X18" s="9"/>
      <c r="Y18" s="20" t="s">
        <v>29</v>
      </c>
      <c r="Z18" s="2">
        <v>10.0</v>
      </c>
      <c r="AA18" s="9">
        <f>AA12</f>
        <v>300000</v>
      </c>
      <c r="AB18" s="9">
        <f t="shared" si="14"/>
        <v>3000000</v>
      </c>
      <c r="AC18" s="24">
        <f t="shared" si="15"/>
        <v>666.6666667</v>
      </c>
      <c r="AD18" s="24">
        <f t="shared" si="16"/>
        <v>666.6666667</v>
      </c>
      <c r="AE18" s="24">
        <f t="shared" si="17"/>
        <v>1166.666667</v>
      </c>
      <c r="AF18" s="24">
        <f t="shared" si="18"/>
        <v>1166.666667</v>
      </c>
      <c r="AG18" s="24">
        <f t="shared" si="19"/>
        <v>1666.666667</v>
      </c>
      <c r="AH18" s="24">
        <f t="shared" si="20"/>
        <v>1666.666667</v>
      </c>
      <c r="AI18" s="24" t="str">
        <f t="shared" si="21"/>
        <v>0</v>
      </c>
      <c r="AJ18" s="24" t="str">
        <f t="shared" si="22"/>
        <v>0</v>
      </c>
      <c r="AK18" s="24" t="str">
        <f t="shared" si="23"/>
        <v>0</v>
      </c>
      <c r="AL18" s="24" t="str">
        <f t="shared" si="24"/>
        <v>0</v>
      </c>
      <c r="AM18" s="25">
        <f t="shared" si="25"/>
        <v>2996500</v>
      </c>
      <c r="AO18" s="19"/>
      <c r="AP18" s="23" t="s">
        <v>29</v>
      </c>
      <c r="AQ18" s="2">
        <v>30.0</v>
      </c>
      <c r="AR18" s="9">
        <f>AR12</f>
        <v>300000</v>
      </c>
      <c r="AS18" s="9">
        <f t="shared" si="26"/>
        <v>9000000</v>
      </c>
      <c r="AT18" s="24">
        <f t="shared" si="27"/>
        <v>666.6666667</v>
      </c>
      <c r="AU18" s="24">
        <f t="shared" si="28"/>
        <v>0</v>
      </c>
      <c r="AV18" s="24">
        <f t="shared" si="29"/>
        <v>1166.666667</v>
      </c>
      <c r="AW18" s="24">
        <f t="shared" si="30"/>
        <v>0</v>
      </c>
      <c r="AX18" s="24">
        <f t="shared" si="31"/>
        <v>1666.666667</v>
      </c>
      <c r="AY18" s="24">
        <f t="shared" si="32"/>
        <v>0</v>
      </c>
      <c r="AZ18" s="24">
        <f t="shared" si="33"/>
        <v>2166.666667</v>
      </c>
      <c r="BA18" s="24">
        <f t="shared" si="34"/>
        <v>0</v>
      </c>
      <c r="BB18" s="24">
        <f t="shared" si="35"/>
        <v>2666.666667</v>
      </c>
      <c r="BC18" s="24">
        <f t="shared" si="36"/>
        <v>0</v>
      </c>
      <c r="BD18" s="25">
        <f t="shared" si="37"/>
        <v>9000000</v>
      </c>
      <c r="BF18" s="19"/>
      <c r="BG18" s="20" t="s">
        <v>29</v>
      </c>
      <c r="BH18" s="2">
        <v>30.0</v>
      </c>
      <c r="BI18" s="9">
        <f>BI12</f>
        <v>300000</v>
      </c>
      <c r="BJ18" s="9">
        <f t="shared" si="38"/>
        <v>9000000</v>
      </c>
      <c r="BK18" s="24">
        <f t="shared" si="39"/>
        <v>666.6666667</v>
      </c>
      <c r="BL18" s="24">
        <f t="shared" si="40"/>
        <v>666.6666667</v>
      </c>
      <c r="BM18" s="24">
        <f t="shared" si="41"/>
        <v>1166.666667</v>
      </c>
      <c r="BN18" s="24">
        <f t="shared" si="42"/>
        <v>1166.666667</v>
      </c>
      <c r="BO18" s="24">
        <f t="shared" si="43"/>
        <v>1666.666667</v>
      </c>
      <c r="BP18" s="24">
        <f t="shared" si="44"/>
        <v>1666.666667</v>
      </c>
      <c r="BQ18" s="24">
        <f t="shared" si="45"/>
        <v>2166.666667</v>
      </c>
      <c r="BR18" s="24">
        <f t="shared" si="46"/>
        <v>2166.666667</v>
      </c>
      <c r="BS18" s="24">
        <f t="shared" si="47"/>
        <v>2666.666667</v>
      </c>
      <c r="BT18" s="24">
        <f t="shared" si="48"/>
        <v>2666.666667</v>
      </c>
      <c r="BU18" s="25">
        <f t="shared" si="49"/>
        <v>8991666.667</v>
      </c>
      <c r="BW18" s="19"/>
      <c r="BX18" s="20" t="s">
        <v>29</v>
      </c>
      <c r="BY18" s="2">
        <v>10.0</v>
      </c>
      <c r="BZ18" s="9">
        <f>BZ12</f>
        <v>300000</v>
      </c>
      <c r="CA18" s="9">
        <f t="shared" si="50"/>
        <v>3000000</v>
      </c>
      <c r="CB18" s="24">
        <f t="shared" si="51"/>
        <v>666.6666667</v>
      </c>
      <c r="CC18" s="24">
        <f t="shared" si="52"/>
        <v>0</v>
      </c>
      <c r="CD18" s="24">
        <f t="shared" si="53"/>
        <v>1166.666667</v>
      </c>
      <c r="CE18" s="24">
        <f t="shared" si="54"/>
        <v>0</v>
      </c>
      <c r="CF18" s="24">
        <f t="shared" si="55"/>
        <v>1666.666667</v>
      </c>
      <c r="CG18" s="24">
        <f t="shared" si="56"/>
        <v>0</v>
      </c>
      <c r="CH18" s="24" t="str">
        <f t="shared" si="57"/>
        <v>0</v>
      </c>
      <c r="CI18" s="24">
        <f t="shared" si="58"/>
        <v>0</v>
      </c>
      <c r="CJ18" s="24" t="str">
        <f t="shared" si="59"/>
        <v>0</v>
      </c>
      <c r="CK18" s="24">
        <f t="shared" si="60"/>
        <v>0</v>
      </c>
      <c r="CL18" s="25">
        <f t="shared" si="61"/>
        <v>3000000</v>
      </c>
      <c r="CN18" s="19"/>
      <c r="CO18" s="20" t="s">
        <v>29</v>
      </c>
      <c r="CP18" s="2">
        <v>30.0</v>
      </c>
      <c r="CQ18" s="9">
        <f>CQ12</f>
        <v>300000</v>
      </c>
      <c r="CR18" s="9">
        <f t="shared" si="62"/>
        <v>9000000</v>
      </c>
      <c r="CS18" s="24">
        <f t="shared" si="63"/>
        <v>1000</v>
      </c>
      <c r="CT18" s="24">
        <f t="shared" si="64"/>
        <v>1000</v>
      </c>
      <c r="CU18" s="24">
        <f t="shared" si="65"/>
        <v>1750</v>
      </c>
      <c r="CV18" s="24">
        <f t="shared" si="66"/>
        <v>1750</v>
      </c>
      <c r="CW18" s="24">
        <f t="shared" si="67"/>
        <v>2500</v>
      </c>
      <c r="CX18" s="24">
        <f t="shared" si="68"/>
        <v>2500</v>
      </c>
      <c r="CY18" s="24" t="str">
        <f t="shared" si="69"/>
        <v>0</v>
      </c>
      <c r="CZ18" s="24" t="str">
        <f t="shared" si="70"/>
        <v>0</v>
      </c>
      <c r="DA18" s="24" t="str">
        <f t="shared" si="71"/>
        <v>0</v>
      </c>
      <c r="DB18" s="24" t="str">
        <f t="shared" si="72"/>
        <v>0</v>
      </c>
      <c r="DC18" s="25">
        <f t="shared" si="73"/>
        <v>8994750</v>
      </c>
      <c r="DE18" s="19"/>
      <c r="DF18" s="20" t="s">
        <v>29</v>
      </c>
      <c r="DG18" s="2">
        <v>30.0</v>
      </c>
      <c r="DH18" s="9">
        <f>DH12</f>
        <v>300000</v>
      </c>
      <c r="DI18" s="9">
        <f t="shared" si="74"/>
        <v>9000000</v>
      </c>
      <c r="DJ18" s="24">
        <f t="shared" si="75"/>
        <v>666.6666667</v>
      </c>
      <c r="DK18" s="24" t="str">
        <f t="shared" si="76"/>
        <v>0</v>
      </c>
      <c r="DL18" s="24">
        <f t="shared" si="77"/>
        <v>1166.666667</v>
      </c>
      <c r="DM18" s="24" t="str">
        <f t="shared" si="78"/>
        <v>0</v>
      </c>
      <c r="DN18" s="24">
        <f t="shared" si="79"/>
        <v>1666.666667</v>
      </c>
      <c r="DO18" s="24" t="str">
        <f t="shared" si="80"/>
        <v>0</v>
      </c>
      <c r="DP18" s="24">
        <f t="shared" si="81"/>
        <v>2166.666667</v>
      </c>
      <c r="DQ18" s="24" t="str">
        <f t="shared" si="82"/>
        <v>0</v>
      </c>
      <c r="DR18" s="24">
        <f t="shared" si="83"/>
        <v>2666.666667</v>
      </c>
      <c r="DS18" s="24" t="str">
        <f t="shared" si="84"/>
        <v>0</v>
      </c>
      <c r="DT18" s="25">
        <f t="shared" si="85"/>
        <v>9000000</v>
      </c>
      <c r="DV18" s="19"/>
      <c r="DW18" s="2" t="s">
        <v>27</v>
      </c>
      <c r="DX18" s="2">
        <v>30.0</v>
      </c>
      <c r="DY18" s="9">
        <f>DZ11</f>
        <v>200000</v>
      </c>
      <c r="DZ18" s="9">
        <f t="shared" ref="DZ18:DZ20" si="86">DX18*DY18</f>
        <v>6000000</v>
      </c>
      <c r="EA18" s="24">
        <f>IF($DZ$18&gt;=$DX$3, $EA$3, "0")</f>
        <v>2000</v>
      </c>
      <c r="EB18" s="24" t="str">
        <f t="shared" ref="EB18:EB20" si="87">(IF($DF$15-$DH$15&gt;=$DK$15,"0", IF(SUM($DJ$17:$DJ$19,$DL$17:$DL$19,$DN$17:$DN$19,$DP$17:$DP$19,$DR$17:$DR$19)&gt;=$BG$15,0,EA18)))</f>
        <v>0</v>
      </c>
      <c r="EC18" s="24">
        <f>IF($DZ$18&gt;=$DX$4, $EA$4, "0")</f>
        <v>3500</v>
      </c>
      <c r="ED18" s="24" t="str">
        <f t="shared" ref="ED18:ED20" si="88">(IF($DF$15-$DH$15&gt;=$DK$15,"0", IF(SUM($DJ$17:$DJ$19,$DL$17:$DL$19,$DN$17:$DN$19,$DP$17:$DP$19,$DR$17:$DR$19)&gt;=$BG$15,0,EC18)))</f>
        <v>0</v>
      </c>
      <c r="EE18" s="24" t="str">
        <f>IF($DZ$18&gt;=$DX$5, $EA$5, "0")</f>
        <v>0</v>
      </c>
      <c r="EF18" s="24" t="str">
        <f t="shared" ref="EF18:EF20" si="89">(IF($DF$15-$DH$15&gt;=$DK$15,"0", IF(SUM($DJ$17:$DJ$19,$DL$17:$DL$19,$DN$17:$DN$19,$DP$17:$DP$19,$DR$17:$DR$19)&gt;=$BG$15,0,EE18)))</f>
        <v>0</v>
      </c>
      <c r="EG18" s="24" t="str">
        <f>IF($DZ$18&gt;=$DX$6, $EA$6, "0")</f>
        <v>0</v>
      </c>
      <c r="EH18" s="24" t="str">
        <f>(IF($DF$15-$DH$15&gt;=$DK$15,"0", IF(SUM($DJ$17:$DJ$19,$DL$17:$DL$19,$DN$17:$DN$19,$DP$17:$DP$19,$DR$17:$DR$19)&gt;=$BG$15,0,EG18)))</f>
        <v>0</v>
      </c>
      <c r="EI18" s="24" t="str">
        <f>IF($DZ$18&gt;=$DX$7, $EA$7, "0")</f>
        <v>0</v>
      </c>
      <c r="EJ18" s="24" t="str">
        <f t="shared" ref="EJ18:EJ20" si="90">(IF($DF$15-$DH$15&gt;=$DK$15,"0", IF(SUM($DJ$17:$DJ$19,$DL$17:$DL$19,$DN$17:$DN$19,$DP$17:$DP$19,$DR$17:$DR$19)&gt;=$BG$15,0,EI18)))</f>
        <v>0</v>
      </c>
      <c r="EK18" s="25">
        <f t="shared" ref="EK18:EK20" si="91">DZ18-EB18-ED18-EF18-EH18-EJ18</f>
        <v>6000000</v>
      </c>
      <c r="EM18" s="19"/>
      <c r="EN18" s="2" t="s">
        <v>29</v>
      </c>
      <c r="EO18" s="2">
        <v>30.0</v>
      </c>
      <c r="EP18" s="9">
        <f>EQ11</f>
        <v>200000</v>
      </c>
      <c r="EQ18" s="9">
        <f t="shared" ref="EQ18:EQ20" si="92">EO18*EP18</f>
        <v>6000000</v>
      </c>
      <c r="ER18" s="24"/>
      <c r="ES18" s="24" t="str">
        <f t="shared" ref="ES18:ES20" si="93">(IF($DF$15-$DH$15&gt;=$DK$15,"0", IF(SUM($DJ$17:$DJ$19,$DL$17:$DL$19,$DN$17:$DN$19,$DP$17:$DP$19,$DR$17:$DR$19)&gt;=$BG$15,0,ER18)))</f>
        <v>0</v>
      </c>
      <c r="ET18" s="24"/>
      <c r="EU18" s="24" t="str">
        <f t="shared" ref="EU18:EU20" si="94">(IF($DF$15-$DH$15&gt;=$DK$15,"0", IF(SUM($DJ$17:$DJ$19,$DL$17:$DL$19,$DN$17:$DN$19,$DP$17:$DP$19,$DR$17:$DR$19)&gt;=$BG$15,0,ET18)))</f>
        <v>0</v>
      </c>
      <c r="EV18" s="24"/>
      <c r="EW18" s="24" t="str">
        <f t="shared" ref="EW18:EW20" si="95">(IF($DF$15-$DH$15&gt;=$DK$15,"0", IF(SUM($DJ$17:$DJ$19,$DL$17:$DL$19,$DN$17:$DN$19,$DP$17:$DP$19,$DR$17:$DR$19)&gt;=$BG$15,0,EV18)))</f>
        <v>0</v>
      </c>
      <c r="EX18" s="24"/>
      <c r="EY18" s="24" t="str">
        <f t="shared" ref="EY18:EY20" si="96">(IF($DF$15-$DH$15&gt;=$DK$15,"0", IF(SUM($DJ$17:$DJ$19,$DL$17:$DL$19,$DN$17:$DN$19,$DP$17:$DP$19,$DR$17:$DR$19)&gt;=$BG$15,0,EX18)))</f>
        <v>0</v>
      </c>
      <c r="EZ18" s="24"/>
      <c r="FA18" s="24" t="str">
        <f t="shared" ref="FA18:FA20" si="97">(IF($DF$15-$DH$15&gt;=$DK$15,"0", IF(SUM($DJ$17:$DJ$19,$DL$17:$DL$19,$DN$17:$DN$19,$DP$17:$DP$19,$DR$17:$DR$19)&gt;=$BG$15,0,EZ18)))</f>
        <v>0</v>
      </c>
      <c r="FB18" s="25">
        <f t="shared" ref="FB18:FB20" si="98">EQ18-ES18-EU18-EW18-EY18-FA18</f>
        <v>6000000</v>
      </c>
      <c r="FD18" s="19"/>
      <c r="FE18" s="2" t="s">
        <v>27</v>
      </c>
      <c r="FF18" s="2">
        <v>20.0</v>
      </c>
      <c r="FG18" s="9">
        <f>FH11</f>
        <v>200000</v>
      </c>
      <c r="FH18" s="9">
        <f t="shared" ref="FH18:FH20" si="99">FF18*FG18</f>
        <v>4000000</v>
      </c>
      <c r="FI18" s="24"/>
      <c r="FJ18" s="24" t="str">
        <f t="shared" ref="FJ18:FJ20" si="100">(IF($DF$15-$DH$15&gt;=$DK$15,"0", IF(SUM($DJ$17:$DJ$19,$DL$17:$DL$19,$DN$17:$DN$19,$DP$17:$DP$19,$DR$17:$DR$19)&gt;=$BG$15,0,FI18)))</f>
        <v>0</v>
      </c>
      <c r="FK18" s="24"/>
      <c r="FL18" s="24" t="str">
        <f t="shared" ref="FL18:FL20" si="101">(IF($DF$15-$DH$15&gt;=$DK$15,"0", IF(SUM($DJ$17:$DJ$19,$DL$17:$DL$19,$DN$17:$DN$19,$DP$17:$DP$19,$DR$17:$DR$19)&gt;=$BG$15,0,FK18)))</f>
        <v>0</v>
      </c>
      <c r="FM18" s="24"/>
      <c r="FN18" s="24" t="str">
        <f t="shared" ref="FN18:FN20" si="102">(IF($DF$15-$DH$15&gt;=$DK$15,"0", IF(SUM($DJ$17:$DJ$19,$DL$17:$DL$19,$DN$17:$DN$19,$DP$17:$DP$19,$DR$17:$DR$19)&gt;=$BG$15,0,FM18)))</f>
        <v>0</v>
      </c>
      <c r="FO18" s="24"/>
      <c r="FP18" s="24" t="str">
        <f t="shared" ref="FP18:FP20" si="103">(IF($DF$15-$DH$15&gt;=$DK$15,"0", IF(SUM($DJ$17:$DJ$19,$DL$17:$DL$19,$DN$17:$DN$19,$DP$17:$DP$19,$DR$17:$DR$19)&gt;=$BG$15,0,FO18)))</f>
        <v>0</v>
      </c>
      <c r="FQ18" s="24"/>
      <c r="FR18" s="24" t="str">
        <f t="shared" ref="FR18:FR20" si="104">(IF($DF$15-$DH$15&gt;=$DK$15,"0", IF(SUM($DJ$17:$DJ$19,$DL$17:$DL$19,$DN$17:$DN$19,$DP$17:$DP$19,$DR$17:$DR$19)&gt;=$BG$15,0,FQ18)))</f>
        <v>0</v>
      </c>
      <c r="FS18" s="25">
        <f t="shared" ref="FS18:FS20" si="105">FH18-FJ18-FL18-FN18-FP18-FR18</f>
        <v>4000000</v>
      </c>
      <c r="FU18" s="19"/>
      <c r="FV18" s="9"/>
      <c r="FW18" s="9"/>
      <c r="FX18" s="9"/>
      <c r="FY18" s="9"/>
      <c r="FZ18" s="9"/>
      <c r="GA18" s="9"/>
    </row>
    <row r="19">
      <c r="A19" s="23" t="s">
        <v>54</v>
      </c>
      <c r="B19" s="2">
        <v>30.0</v>
      </c>
      <c r="C19" s="9">
        <f>D13</f>
        <v>180000</v>
      </c>
      <c r="D19" s="9">
        <f t="shared" si="1"/>
        <v>5400000</v>
      </c>
      <c r="E19" s="24">
        <f>IF(SUM($D$17:$D$19)&gt;=$B3,$E3/3, "0")</f>
        <v>666.6666667</v>
      </c>
      <c r="F19" s="24">
        <f t="shared" si="2"/>
        <v>1166.666667</v>
      </c>
      <c r="G19" s="24">
        <f t="shared" si="3"/>
        <v>1666.666667</v>
      </c>
      <c r="H19" s="24">
        <f t="shared" si="4"/>
        <v>2166.666667</v>
      </c>
      <c r="I19" s="24">
        <f t="shared" si="5"/>
        <v>2666.666667</v>
      </c>
      <c r="J19" s="25">
        <f t="shared" si="6"/>
        <v>5391666.667</v>
      </c>
      <c r="L19" s="9"/>
      <c r="M19" s="20" t="s">
        <v>54</v>
      </c>
      <c r="N19" s="2">
        <v>3.0</v>
      </c>
      <c r="O19" s="9">
        <f>P13</f>
        <v>180000</v>
      </c>
      <c r="P19" s="9">
        <f t="shared" si="7"/>
        <v>540000</v>
      </c>
      <c r="Q19" s="24" t="str">
        <f t="shared" si="8"/>
        <v>0</v>
      </c>
      <c r="R19" s="24" t="str">
        <f t="shared" si="9"/>
        <v>0</v>
      </c>
      <c r="S19" s="24" t="str">
        <f t="shared" si="10"/>
        <v>0</v>
      </c>
      <c r="T19" s="24" t="str">
        <f t="shared" si="11"/>
        <v>0</v>
      </c>
      <c r="U19" s="24" t="str">
        <f t="shared" si="12"/>
        <v>0</v>
      </c>
      <c r="V19" s="25">
        <f t="shared" si="13"/>
        <v>540000</v>
      </c>
      <c r="X19" s="9"/>
      <c r="Y19" s="20" t="s">
        <v>54</v>
      </c>
      <c r="Z19" s="2">
        <v>20.0</v>
      </c>
      <c r="AA19" s="9">
        <f>AB13</f>
        <v>180000</v>
      </c>
      <c r="AB19" s="9">
        <f t="shared" si="14"/>
        <v>3600000</v>
      </c>
      <c r="AC19" s="24">
        <f t="shared" si="15"/>
        <v>666.6666667</v>
      </c>
      <c r="AD19" s="24">
        <f t="shared" si="16"/>
        <v>666.6666667</v>
      </c>
      <c r="AE19" s="24">
        <f t="shared" si="17"/>
        <v>1166.666667</v>
      </c>
      <c r="AF19" s="24">
        <f t="shared" si="18"/>
        <v>1166.666667</v>
      </c>
      <c r="AG19" s="24">
        <f t="shared" si="19"/>
        <v>1666.666667</v>
      </c>
      <c r="AH19" s="24">
        <f t="shared" si="20"/>
        <v>1666.666667</v>
      </c>
      <c r="AI19" s="24" t="str">
        <f t="shared" si="21"/>
        <v>0</v>
      </c>
      <c r="AJ19" s="24" t="str">
        <f t="shared" si="22"/>
        <v>0</v>
      </c>
      <c r="AK19" s="24" t="str">
        <f t="shared" si="23"/>
        <v>0</v>
      </c>
      <c r="AL19" s="24" t="str">
        <f t="shared" si="24"/>
        <v>0</v>
      </c>
      <c r="AM19" s="25">
        <f t="shared" si="25"/>
        <v>3596500</v>
      </c>
      <c r="AO19" s="19"/>
      <c r="AP19" s="23" t="s">
        <v>54</v>
      </c>
      <c r="AQ19" s="2">
        <v>40.0</v>
      </c>
      <c r="AR19" s="9">
        <f>AS13</f>
        <v>180000</v>
      </c>
      <c r="AS19" s="9">
        <f t="shared" si="26"/>
        <v>7200000</v>
      </c>
      <c r="AT19" s="24">
        <f t="shared" si="27"/>
        <v>666.6666667</v>
      </c>
      <c r="AU19" s="24">
        <f t="shared" si="28"/>
        <v>0</v>
      </c>
      <c r="AV19" s="24">
        <f t="shared" si="29"/>
        <v>1166.666667</v>
      </c>
      <c r="AW19" s="24">
        <f t="shared" si="30"/>
        <v>0</v>
      </c>
      <c r="AX19" s="24">
        <f t="shared" si="31"/>
        <v>1666.666667</v>
      </c>
      <c r="AY19" s="24">
        <f t="shared" si="32"/>
        <v>0</v>
      </c>
      <c r="AZ19" s="24">
        <f t="shared" si="33"/>
        <v>2166.666667</v>
      </c>
      <c r="BA19" s="24">
        <f t="shared" si="34"/>
        <v>0</v>
      </c>
      <c r="BB19" s="24">
        <f t="shared" si="35"/>
        <v>2666.666667</v>
      </c>
      <c r="BC19" s="24">
        <f t="shared" si="36"/>
        <v>0</v>
      </c>
      <c r="BD19" s="25">
        <f t="shared" si="37"/>
        <v>7200000</v>
      </c>
      <c r="BF19" s="19"/>
      <c r="BG19" s="20" t="s">
        <v>54</v>
      </c>
      <c r="BH19" s="2">
        <v>50.0</v>
      </c>
      <c r="BI19" s="9">
        <f>BJ13</f>
        <v>180000</v>
      </c>
      <c r="BJ19" s="9">
        <f t="shared" si="38"/>
        <v>9000000</v>
      </c>
      <c r="BK19" s="24">
        <f t="shared" si="39"/>
        <v>666.6666667</v>
      </c>
      <c r="BL19" s="24">
        <f t="shared" si="40"/>
        <v>666.6666667</v>
      </c>
      <c r="BM19" s="24">
        <f t="shared" si="41"/>
        <v>1166.666667</v>
      </c>
      <c r="BN19" s="24">
        <f t="shared" si="42"/>
        <v>1166.666667</v>
      </c>
      <c r="BO19" s="24">
        <f t="shared" si="43"/>
        <v>1666.666667</v>
      </c>
      <c r="BP19" s="24">
        <f t="shared" si="44"/>
        <v>1666.666667</v>
      </c>
      <c r="BQ19" s="24">
        <f t="shared" si="45"/>
        <v>2166.666667</v>
      </c>
      <c r="BR19" s="24">
        <f t="shared" si="46"/>
        <v>2166.666667</v>
      </c>
      <c r="BS19" s="24">
        <f t="shared" si="47"/>
        <v>2666.666667</v>
      </c>
      <c r="BT19" s="24">
        <f t="shared" si="48"/>
        <v>2666.666667</v>
      </c>
      <c r="BU19" s="25">
        <f t="shared" si="49"/>
        <v>8991666.667</v>
      </c>
      <c r="BW19" s="19"/>
      <c r="BX19" s="20" t="s">
        <v>54</v>
      </c>
      <c r="BY19" s="2">
        <v>25.0</v>
      </c>
      <c r="BZ19" s="9">
        <f>CA13</f>
        <v>180000</v>
      </c>
      <c r="CA19" s="9">
        <f t="shared" si="50"/>
        <v>4500000</v>
      </c>
      <c r="CB19" s="24">
        <f t="shared" si="51"/>
        <v>666.6666667</v>
      </c>
      <c r="CC19" s="24">
        <f t="shared" si="52"/>
        <v>0</v>
      </c>
      <c r="CD19" s="24">
        <f t="shared" si="53"/>
        <v>1166.666667</v>
      </c>
      <c r="CE19" s="24">
        <f t="shared" si="54"/>
        <v>0</v>
      </c>
      <c r="CF19" s="24">
        <f t="shared" si="55"/>
        <v>1666.666667</v>
      </c>
      <c r="CG19" s="24">
        <f t="shared" si="56"/>
        <v>0</v>
      </c>
      <c r="CH19" s="24" t="str">
        <f t="shared" si="57"/>
        <v>0</v>
      </c>
      <c r="CI19" s="24">
        <f t="shared" si="58"/>
        <v>0</v>
      </c>
      <c r="CJ19" s="24" t="str">
        <f t="shared" si="59"/>
        <v>0</v>
      </c>
      <c r="CK19" s="24">
        <f t="shared" si="60"/>
        <v>0</v>
      </c>
      <c r="CL19" s="25">
        <f t="shared" si="61"/>
        <v>4500000</v>
      </c>
      <c r="CN19" s="19"/>
      <c r="CO19" s="18" t="s">
        <v>55</v>
      </c>
      <c r="CP19" s="2">
        <v>50.0</v>
      </c>
      <c r="CQ19" s="9">
        <f>CR13</f>
        <v>180000</v>
      </c>
      <c r="CR19" s="9">
        <f t="shared" si="62"/>
        <v>9000000</v>
      </c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5">
        <f t="shared" si="73"/>
        <v>9000000</v>
      </c>
      <c r="DE19" s="19"/>
      <c r="DF19" s="20" t="s">
        <v>54</v>
      </c>
      <c r="DG19" s="2">
        <v>50.0</v>
      </c>
      <c r="DH19" s="9">
        <f>DI13</f>
        <v>180000</v>
      </c>
      <c r="DI19" s="9">
        <f t="shared" si="74"/>
        <v>9000000</v>
      </c>
      <c r="DJ19" s="24">
        <f t="shared" si="75"/>
        <v>666.6666667</v>
      </c>
      <c r="DK19" s="24" t="str">
        <f t="shared" si="76"/>
        <v>0</v>
      </c>
      <c r="DL19" s="24">
        <f t="shared" si="77"/>
        <v>1166.666667</v>
      </c>
      <c r="DM19" s="24" t="str">
        <f t="shared" si="78"/>
        <v>0</v>
      </c>
      <c r="DN19" s="24">
        <f t="shared" si="79"/>
        <v>1666.666667</v>
      </c>
      <c r="DO19" s="24" t="str">
        <f t="shared" si="80"/>
        <v>0</v>
      </c>
      <c r="DP19" s="24">
        <f t="shared" si="81"/>
        <v>2166.666667</v>
      </c>
      <c r="DQ19" s="24" t="str">
        <f t="shared" si="82"/>
        <v>0</v>
      </c>
      <c r="DR19" s="24">
        <f t="shared" si="83"/>
        <v>2666.666667</v>
      </c>
      <c r="DS19" s="24" t="str">
        <f t="shared" si="84"/>
        <v>0</v>
      </c>
      <c r="DT19" s="25">
        <f t="shared" si="85"/>
        <v>9000000</v>
      </c>
      <c r="DV19" s="19"/>
      <c r="DW19" s="2" t="s">
        <v>55</v>
      </c>
      <c r="DX19" s="2">
        <v>3.0</v>
      </c>
      <c r="DY19" s="9">
        <f>EA12</f>
        <v>300000</v>
      </c>
      <c r="DZ19" s="9">
        <f t="shared" si="86"/>
        <v>900000</v>
      </c>
      <c r="EA19" s="24"/>
      <c r="EB19" s="24" t="str">
        <f t="shared" si="87"/>
        <v>0</v>
      </c>
      <c r="EC19" s="24"/>
      <c r="ED19" s="24" t="str">
        <f t="shared" si="88"/>
        <v>0</v>
      </c>
      <c r="EE19" s="24"/>
      <c r="EF19" s="24" t="str">
        <f t="shared" si="89"/>
        <v>0</v>
      </c>
      <c r="EG19" s="24"/>
      <c r="EH19" s="24"/>
      <c r="EI19" s="24"/>
      <c r="EJ19" s="24" t="str">
        <f t="shared" si="90"/>
        <v>0</v>
      </c>
      <c r="EK19" s="25">
        <f t="shared" si="91"/>
        <v>900000</v>
      </c>
      <c r="EM19" s="19"/>
      <c r="EN19" s="2" t="s">
        <v>54</v>
      </c>
      <c r="EO19" s="2">
        <v>30.0</v>
      </c>
      <c r="EP19" s="9">
        <f>ER12</f>
        <v>300000</v>
      </c>
      <c r="EQ19" s="9">
        <f t="shared" si="92"/>
        <v>9000000</v>
      </c>
      <c r="ER19" s="24"/>
      <c r="ES19" s="24" t="str">
        <f t="shared" si="93"/>
        <v>0</v>
      </c>
      <c r="ET19" s="24"/>
      <c r="EU19" s="24" t="str">
        <f t="shared" si="94"/>
        <v>0</v>
      </c>
      <c r="EV19" s="24"/>
      <c r="EW19" s="24" t="str">
        <f t="shared" si="95"/>
        <v>0</v>
      </c>
      <c r="EX19" s="24"/>
      <c r="EY19" s="24" t="str">
        <f t="shared" si="96"/>
        <v>0</v>
      </c>
      <c r="EZ19" s="24"/>
      <c r="FA19" s="24" t="str">
        <f t="shared" si="97"/>
        <v>0</v>
      </c>
      <c r="FB19" s="25">
        <f t="shared" si="98"/>
        <v>9000000</v>
      </c>
      <c r="FD19" s="19"/>
      <c r="FE19" s="2" t="s">
        <v>29</v>
      </c>
      <c r="FF19" s="2">
        <v>5.0</v>
      </c>
      <c r="FG19" s="9">
        <f>FI12</f>
        <v>300000</v>
      </c>
      <c r="FH19" s="9">
        <f t="shared" si="99"/>
        <v>1500000</v>
      </c>
      <c r="FI19" s="24"/>
      <c r="FJ19" s="24" t="str">
        <f t="shared" si="100"/>
        <v>0</v>
      </c>
      <c r="FK19" s="24"/>
      <c r="FL19" s="24" t="str">
        <f t="shared" si="101"/>
        <v>0</v>
      </c>
      <c r="FM19" s="24"/>
      <c r="FN19" s="24" t="str">
        <f t="shared" si="102"/>
        <v>0</v>
      </c>
      <c r="FO19" s="24"/>
      <c r="FP19" s="24" t="str">
        <f t="shared" si="103"/>
        <v>0</v>
      </c>
      <c r="FQ19" s="24"/>
      <c r="FR19" s="24" t="str">
        <f t="shared" si="104"/>
        <v>0</v>
      </c>
      <c r="FS19" s="25">
        <f t="shared" si="105"/>
        <v>1500000</v>
      </c>
      <c r="FU19" s="19"/>
      <c r="FV19" s="9"/>
      <c r="FW19" s="9"/>
      <c r="FX19" s="9"/>
      <c r="FY19" s="9"/>
      <c r="FZ19" s="9"/>
      <c r="GA19" s="9"/>
    </row>
    <row r="20">
      <c r="H20" s="9"/>
      <c r="M20" s="20"/>
      <c r="T20" s="9"/>
      <c r="Y20" s="20"/>
      <c r="AB20" s="26"/>
      <c r="AC20" s="26"/>
      <c r="AD20" s="26"/>
      <c r="AE20" s="26"/>
      <c r="AF20" s="26"/>
      <c r="AG20" s="26"/>
      <c r="AH20" s="26"/>
      <c r="AI20" s="27"/>
      <c r="AJ20" s="27"/>
      <c r="AK20" s="26"/>
      <c r="AL20" s="26"/>
      <c r="AO20" s="4"/>
      <c r="AS20" s="26"/>
      <c r="AT20" s="26"/>
      <c r="AU20" s="26"/>
      <c r="AV20" s="26"/>
      <c r="AW20" s="26"/>
      <c r="AX20" s="26"/>
      <c r="AY20" s="26"/>
      <c r="AZ20" s="27"/>
      <c r="BA20" s="27"/>
      <c r="BB20" s="26"/>
      <c r="BC20" s="26"/>
      <c r="BF20" s="4"/>
      <c r="BG20" s="18" t="s">
        <v>55</v>
      </c>
      <c r="BH20" s="2">
        <v>40.0</v>
      </c>
      <c r="BI20" s="9">
        <v>150000.0</v>
      </c>
      <c r="BJ20" s="35">
        <f t="shared" si="38"/>
        <v>6000000</v>
      </c>
      <c r="BK20" s="26"/>
      <c r="BL20" s="26"/>
      <c r="BM20" s="26"/>
      <c r="BN20" s="26"/>
      <c r="BO20" s="26"/>
      <c r="BP20" s="26"/>
      <c r="BQ20" s="27"/>
      <c r="BR20" s="27"/>
      <c r="BS20" s="26"/>
      <c r="BT20" s="26"/>
      <c r="BU20" s="25">
        <f t="shared" si="49"/>
        <v>6000000</v>
      </c>
      <c r="BW20" s="4"/>
      <c r="BX20" s="20"/>
      <c r="CA20" s="26"/>
      <c r="CB20" s="26"/>
      <c r="CC20" s="26"/>
      <c r="CD20" s="26"/>
      <c r="CE20" s="26"/>
      <c r="CF20" s="26"/>
      <c r="CG20" s="26"/>
      <c r="CH20" s="27"/>
      <c r="CI20" s="27"/>
      <c r="CJ20" s="26"/>
      <c r="CK20" s="26"/>
      <c r="CN20" s="4"/>
      <c r="CO20" s="20"/>
      <c r="CR20" s="26"/>
      <c r="CS20" s="26"/>
      <c r="CT20" s="26"/>
      <c r="CU20" s="26"/>
      <c r="CV20" s="26"/>
      <c r="CW20" s="26"/>
      <c r="CX20" s="26"/>
      <c r="CY20" s="27"/>
      <c r="CZ20" s="27"/>
      <c r="DA20" s="26"/>
      <c r="DB20" s="26"/>
      <c r="DE20" s="4"/>
      <c r="DF20" s="20"/>
      <c r="DI20" s="26"/>
      <c r="DJ20" s="26"/>
      <c r="DK20" s="26"/>
      <c r="DL20" s="26"/>
      <c r="DM20" s="26"/>
      <c r="DN20" s="26"/>
      <c r="DO20" s="26"/>
      <c r="DP20" s="27"/>
      <c r="DQ20" s="27"/>
      <c r="DR20" s="26"/>
      <c r="DS20" s="26"/>
      <c r="DV20" s="4"/>
      <c r="DW20" s="2" t="s">
        <v>56</v>
      </c>
      <c r="DX20" s="2">
        <v>1.0</v>
      </c>
      <c r="DY20" s="9">
        <v>180000.0</v>
      </c>
      <c r="DZ20" s="9">
        <f t="shared" si="86"/>
        <v>180000</v>
      </c>
      <c r="EA20" s="24"/>
      <c r="EB20" s="24" t="str">
        <f t="shared" si="87"/>
        <v>0</v>
      </c>
      <c r="EC20" s="24"/>
      <c r="ED20" s="24" t="str">
        <f t="shared" si="88"/>
        <v>0</v>
      </c>
      <c r="EE20" s="24"/>
      <c r="EF20" s="24" t="str">
        <f t="shared" si="89"/>
        <v>0</v>
      </c>
      <c r="EG20" s="24"/>
      <c r="EH20" s="24"/>
      <c r="EI20" s="24"/>
      <c r="EJ20" s="24" t="str">
        <f t="shared" si="90"/>
        <v>0</v>
      </c>
      <c r="EK20" s="25">
        <f t="shared" si="91"/>
        <v>180000</v>
      </c>
      <c r="EM20" s="4"/>
      <c r="EN20" s="2" t="s">
        <v>55</v>
      </c>
      <c r="EO20" s="2">
        <v>20.0</v>
      </c>
      <c r="EP20" s="9">
        <v>180000.0</v>
      </c>
      <c r="EQ20" s="9">
        <f t="shared" si="92"/>
        <v>3600000</v>
      </c>
      <c r="ER20" s="24"/>
      <c r="ES20" s="24" t="str">
        <f t="shared" si="93"/>
        <v>0</v>
      </c>
      <c r="ET20" s="24"/>
      <c r="EU20" s="24" t="str">
        <f t="shared" si="94"/>
        <v>0</v>
      </c>
      <c r="EV20" s="24"/>
      <c r="EW20" s="24" t="str">
        <f t="shared" si="95"/>
        <v>0</v>
      </c>
      <c r="EX20" s="24"/>
      <c r="EY20" s="24" t="str">
        <f t="shared" si="96"/>
        <v>0</v>
      </c>
      <c r="EZ20" s="24"/>
      <c r="FA20" s="24" t="str">
        <f t="shared" si="97"/>
        <v>0</v>
      </c>
      <c r="FB20" s="25">
        <f t="shared" si="98"/>
        <v>3600000</v>
      </c>
      <c r="FD20" s="4"/>
      <c r="FE20" s="2" t="s">
        <v>54</v>
      </c>
      <c r="FF20" s="2">
        <v>5.0</v>
      </c>
      <c r="FG20" s="9">
        <v>180000.0</v>
      </c>
      <c r="FH20" s="9">
        <f t="shared" si="99"/>
        <v>900000</v>
      </c>
      <c r="FI20" s="24"/>
      <c r="FJ20" s="24" t="str">
        <f t="shared" si="100"/>
        <v>0</v>
      </c>
      <c r="FK20" s="24"/>
      <c r="FL20" s="24" t="str">
        <f t="shared" si="101"/>
        <v>0</v>
      </c>
      <c r="FM20" s="24"/>
      <c r="FN20" s="24" t="str">
        <f t="shared" si="102"/>
        <v>0</v>
      </c>
      <c r="FO20" s="24"/>
      <c r="FP20" s="24" t="str">
        <f t="shared" si="103"/>
        <v>0</v>
      </c>
      <c r="FQ20" s="24"/>
      <c r="FR20" s="24" t="str">
        <f t="shared" si="104"/>
        <v>0</v>
      </c>
      <c r="FS20" s="25">
        <f t="shared" si="105"/>
        <v>900000</v>
      </c>
      <c r="FU20" s="4"/>
    </row>
    <row r="21">
      <c r="H21" s="9"/>
      <c r="J21" s="2" t="s">
        <v>57</v>
      </c>
      <c r="K21" s="25">
        <f>SUM(D17:D19)</f>
        <v>20400000</v>
      </c>
      <c r="M21" s="20"/>
      <c r="T21" s="9"/>
      <c r="V21" s="2" t="s">
        <v>57</v>
      </c>
      <c r="W21" s="25">
        <f>SUM(P17:P19)</f>
        <v>2040000</v>
      </c>
      <c r="Y21" s="20"/>
      <c r="AI21" s="9"/>
      <c r="AJ21" s="9"/>
      <c r="AM21" s="2" t="s">
        <v>57</v>
      </c>
      <c r="AN21" s="25">
        <f>SUM(AB17:AB19)</f>
        <v>12600000</v>
      </c>
      <c r="AO21" s="4"/>
      <c r="AZ21" s="9"/>
      <c r="BA21" s="9"/>
      <c r="BD21" s="2" t="s">
        <v>57</v>
      </c>
      <c r="BE21" s="25">
        <f>SUM(AS17:AS19)</f>
        <v>22200000</v>
      </c>
      <c r="BF21" s="4"/>
      <c r="BG21" s="20"/>
      <c r="BQ21" s="9"/>
      <c r="BR21" s="9"/>
      <c r="BU21" s="2" t="s">
        <v>57</v>
      </c>
      <c r="BV21" s="25">
        <f>SUM(BJ17:BJ20)</f>
        <v>30000000</v>
      </c>
      <c r="BW21" s="4"/>
      <c r="BX21" s="20"/>
      <c r="CH21" s="9"/>
      <c r="CI21" s="9"/>
      <c r="CL21" s="2" t="s">
        <v>57</v>
      </c>
      <c r="CM21" s="25">
        <f>SUM(CA17:CA19)</f>
        <v>12500000</v>
      </c>
      <c r="CN21" s="4"/>
      <c r="CO21" s="20"/>
      <c r="CY21" s="9"/>
      <c r="CZ21" s="9"/>
      <c r="DC21" s="2" t="s">
        <v>57</v>
      </c>
      <c r="DD21" s="25">
        <f>SUM(CR17:CR19)</f>
        <v>24000000</v>
      </c>
      <c r="DE21" s="4"/>
      <c r="DF21" s="20"/>
      <c r="DP21" s="9"/>
      <c r="DQ21" s="9"/>
      <c r="DT21" s="2" t="s">
        <v>57</v>
      </c>
      <c r="DU21" s="25">
        <f>SUM(DI17:DI19)</f>
        <v>24000000</v>
      </c>
      <c r="DV21" s="4"/>
      <c r="EG21" s="9"/>
      <c r="EH21" s="9"/>
      <c r="EM21" s="4"/>
      <c r="EX21" s="9"/>
      <c r="EY21" s="9"/>
      <c r="FD21" s="4"/>
      <c r="FO21" s="9"/>
      <c r="FP21" s="9"/>
      <c r="FU21" s="4"/>
    </row>
    <row r="22">
      <c r="H22" s="9"/>
      <c r="J22" s="2" t="s">
        <v>58</v>
      </c>
      <c r="K22" s="25">
        <f>sum(E17:I19)</f>
        <v>25000</v>
      </c>
      <c r="M22" s="20"/>
      <c r="T22" s="9"/>
      <c r="V22" s="2" t="s">
        <v>58</v>
      </c>
      <c r="W22" s="25">
        <f>SUM(Q17:U19)</f>
        <v>0</v>
      </c>
      <c r="Y22" s="20"/>
      <c r="AC22" s="26"/>
      <c r="AI22" s="9"/>
      <c r="AJ22" s="9"/>
      <c r="AM22" s="2" t="s">
        <v>58</v>
      </c>
      <c r="AN22" s="25">
        <f>(SUM(SUM(AD17:AD19),(AF17:AF19),(AH17:AH19),(AJ17:AJ19),(AL17:AL19)))</f>
        <v>10500</v>
      </c>
      <c r="AO22" s="4"/>
      <c r="AT22" s="26"/>
      <c r="AZ22" s="9"/>
      <c r="BA22" s="9"/>
      <c r="BD22" s="2" t="s">
        <v>58</v>
      </c>
      <c r="BE22" s="25">
        <f>(SUM(SUM(AU17:AU19),(AW17:AW19),(AY17:AY19),(BA17:BA19),(BC17:BC19)))</f>
        <v>0</v>
      </c>
      <c r="BF22" s="4"/>
      <c r="BG22" s="20"/>
      <c r="BK22" s="26"/>
      <c r="BQ22" s="9"/>
      <c r="BR22" s="9"/>
      <c r="BU22" s="2" t="s">
        <v>58</v>
      </c>
      <c r="BV22" s="25">
        <f>(SUM(SUM(BL17:BL19),(BN17:BN19),(BP17:BP19),(BR17:BR19),(BT17:BT19)))</f>
        <v>25000</v>
      </c>
      <c r="BW22" s="4"/>
      <c r="BX22" s="20"/>
      <c r="CB22" s="26"/>
      <c r="CH22" s="9"/>
      <c r="CI22" s="9"/>
      <c r="CL22" s="2" t="s">
        <v>58</v>
      </c>
      <c r="CM22" s="25">
        <f>(SUM(SUM(CC17:CC19),(CE17:CE19),(CG17:CG19),(CI17:CI19),(CK17:CK19)))</f>
        <v>0</v>
      </c>
      <c r="CN22" s="4"/>
      <c r="CO22" s="20"/>
      <c r="CS22" s="26"/>
      <c r="CY22" s="9"/>
      <c r="CZ22" s="9"/>
      <c r="DC22" s="2" t="s">
        <v>58</v>
      </c>
      <c r="DD22" s="25">
        <f>(SUM(SUM(CT17:CT19),(CV17:CV19),(CX17:CX19),(CZ17:CZ19),(DB17:DB19)))</f>
        <v>10500</v>
      </c>
      <c r="DE22" s="4"/>
      <c r="DF22" s="20"/>
      <c r="DJ22" s="26"/>
      <c r="DP22" s="9"/>
      <c r="DQ22" s="9"/>
      <c r="DT22" s="2" t="s">
        <v>58</v>
      </c>
      <c r="DU22" s="25">
        <f>(SUM(SUM(DK17:DK19),(DM17:DM19),(DO17:DO19),(DQ17:DQ19),(DS17:DS19)))</f>
        <v>0</v>
      </c>
      <c r="DV22" s="4"/>
      <c r="DW22" s="2" t="s">
        <v>59</v>
      </c>
      <c r="EB22" s="2"/>
      <c r="ED22" s="9"/>
      <c r="EG22" s="9"/>
      <c r="EH22" s="9"/>
      <c r="EK22" s="2" t="s">
        <v>57</v>
      </c>
      <c r="EL22" s="25">
        <f>SUM(DZ18:DZ20)</f>
        <v>7080000</v>
      </c>
      <c r="EM22" s="4"/>
      <c r="EN22" s="2" t="s">
        <v>60</v>
      </c>
      <c r="ES22" s="2"/>
      <c r="EU22" s="9"/>
      <c r="EX22" s="9"/>
      <c r="EY22" s="9"/>
      <c r="FB22" s="2" t="s">
        <v>57</v>
      </c>
      <c r="FC22" s="25">
        <f>SUM(EQ18:EQ20)</f>
        <v>18600000</v>
      </c>
      <c r="FD22" s="4"/>
      <c r="FE22" s="2" t="s">
        <v>61</v>
      </c>
      <c r="FJ22" s="2"/>
      <c r="FL22" s="9"/>
      <c r="FO22" s="9"/>
      <c r="FP22" s="9"/>
      <c r="FS22" s="2" t="s">
        <v>57</v>
      </c>
      <c r="FT22" s="25">
        <f>SUM(FH18:FH20)</f>
        <v>6400000</v>
      </c>
      <c r="FU22" s="4"/>
    </row>
    <row r="23">
      <c r="H23" s="9"/>
      <c r="J23" s="2" t="s">
        <v>62</v>
      </c>
      <c r="K23" s="25">
        <f>(J17*0.11)+(J18*0.11)+(J19*0.11)</f>
        <v>2241250</v>
      </c>
      <c r="M23" s="20"/>
      <c r="T23" s="9"/>
      <c r="V23" s="2" t="s">
        <v>62</v>
      </c>
      <c r="W23" s="25">
        <f>(V17*0.11)+(V18*0.11)+(V19*0.11)</f>
        <v>224400</v>
      </c>
      <c r="Y23" s="20"/>
      <c r="AI23" s="9"/>
      <c r="AJ23" s="9"/>
      <c r="AM23" s="2" t="s">
        <v>62</v>
      </c>
      <c r="AN23" s="25">
        <f>(AM17*0.11)+(AM18*0.11)+(AM19*0.11)</f>
        <v>1384845</v>
      </c>
      <c r="AO23" s="4"/>
      <c r="AZ23" s="9"/>
      <c r="BA23" s="9"/>
      <c r="BD23" s="2" t="s">
        <v>62</v>
      </c>
      <c r="BE23" s="25">
        <f>(BD17*0.11)+(BD18*0.11)+(BD19*0.11)</f>
        <v>2442000</v>
      </c>
      <c r="BF23" s="4"/>
      <c r="BG23" s="20"/>
      <c r="BQ23" s="9"/>
      <c r="BR23" s="9"/>
      <c r="BU23" s="2" t="s">
        <v>62</v>
      </c>
      <c r="BV23" s="25">
        <f>(BU17*0.11)+(BU18*0.11)+(BU19*0.11)+(BU20*0.11)</f>
        <v>3297250</v>
      </c>
      <c r="BW23" s="4"/>
      <c r="BX23" s="20"/>
      <c r="CH23" s="9"/>
      <c r="CI23" s="9"/>
      <c r="CL23" s="2" t="s">
        <v>62</v>
      </c>
      <c r="CM23" s="25">
        <f>(CL17*0.11)+(CL18*0.11)+(CL19*0.11)</f>
        <v>1375000</v>
      </c>
      <c r="CN23" s="4"/>
      <c r="CO23" s="20"/>
      <c r="CY23" s="9"/>
      <c r="CZ23" s="9"/>
      <c r="DC23" s="2" t="s">
        <v>62</v>
      </c>
      <c r="DD23" s="25">
        <f>(DC17*0.11)+(DC18*0.11)+(DC19*0.11)</f>
        <v>2638845</v>
      </c>
      <c r="DE23" s="4"/>
      <c r="DF23" s="20"/>
      <c r="DP23" s="9"/>
      <c r="DQ23" s="9"/>
      <c r="DT23" s="2" t="s">
        <v>62</v>
      </c>
      <c r="DU23" s="25">
        <f>(DT17*0.11)+(DT18*0.11)+(DT19*0.11)</f>
        <v>2640000</v>
      </c>
      <c r="DV23" s="4"/>
      <c r="EB23" s="2"/>
      <c r="ED23" s="9"/>
      <c r="EG23" s="9"/>
      <c r="EH23" s="9"/>
      <c r="EK23" s="2" t="s">
        <v>58</v>
      </c>
      <c r="EL23" s="25">
        <f>(SUM(SUM(EB18:EB20),(ED18:ED20),(EF18:EF20),(EH18:EH20),(EJ18:EJ20)))</f>
        <v>0</v>
      </c>
      <c r="EM23" s="4"/>
      <c r="ES23" s="2"/>
      <c r="EU23" s="9"/>
      <c r="EX23" s="9"/>
      <c r="EY23" s="9"/>
      <c r="FB23" s="2" t="s">
        <v>58</v>
      </c>
      <c r="FC23" s="25">
        <f>(SUM(SUM(ES18:ES20),(EU18:EU20),(EW18:EW20),(EY18:EY20),(FA18:FA20)))</f>
        <v>0</v>
      </c>
      <c r="FD23" s="4"/>
      <c r="FJ23" s="2"/>
      <c r="FL23" s="9"/>
      <c r="FO23" s="9"/>
      <c r="FP23" s="9"/>
      <c r="FS23" s="2" t="s">
        <v>58</v>
      </c>
      <c r="FT23" s="25">
        <f>(SUM(SUM(FJ18:FJ20),(FL18:FL20),(FN18:FN20),(FP18:FP20),(FR18:FR20)))</f>
        <v>0</v>
      </c>
      <c r="FU23" s="4"/>
    </row>
    <row r="24">
      <c r="J24" s="2" t="s">
        <v>63</v>
      </c>
      <c r="K24" s="25">
        <f>K21-K22+K23</f>
        <v>22616250</v>
      </c>
      <c r="M24" s="20"/>
      <c r="V24" s="2" t="s">
        <v>63</v>
      </c>
      <c r="W24" s="25">
        <f>W21-W22+W23</f>
        <v>2264400</v>
      </c>
      <c r="Y24" s="20"/>
      <c r="AM24" s="2" t="s">
        <v>63</v>
      </c>
      <c r="AN24" s="25">
        <f>AN21-AN22+AN23</f>
        <v>13974345</v>
      </c>
      <c r="AO24" s="4"/>
      <c r="BD24" s="2" t="s">
        <v>63</v>
      </c>
      <c r="BE24" s="25">
        <f>BE21-BE22+BE23</f>
        <v>24642000</v>
      </c>
      <c r="BF24" s="4"/>
      <c r="BG24" s="20"/>
      <c r="BU24" s="2" t="s">
        <v>63</v>
      </c>
      <c r="BV24" s="25">
        <f>BV21-BV22+BV23</f>
        <v>33272250</v>
      </c>
      <c r="BW24" s="4"/>
      <c r="BX24" s="20"/>
      <c r="CL24" s="2" t="s">
        <v>63</v>
      </c>
      <c r="CM24" s="25">
        <f>CM21-CM22+CM23</f>
        <v>13875000</v>
      </c>
      <c r="CN24" s="4"/>
      <c r="CO24" s="20"/>
      <c r="DC24" s="2" t="s">
        <v>63</v>
      </c>
      <c r="DD24" s="25">
        <f>DD21-DD22+DD23</f>
        <v>26628345</v>
      </c>
      <c r="DE24" s="4"/>
      <c r="DF24" s="20"/>
      <c r="DT24" s="2" t="s">
        <v>63</v>
      </c>
      <c r="DU24" s="25">
        <f>DU21-DU22+DU23</f>
        <v>26640000</v>
      </c>
      <c r="DV24" s="4"/>
      <c r="DW24" s="20"/>
      <c r="EK24" s="2" t="s">
        <v>62</v>
      </c>
      <c r="EL24" s="25">
        <f>(EK18*0.11)+(EK19*0.11)+(EK20*0.11)</f>
        <v>778800</v>
      </c>
      <c r="EM24" s="4"/>
      <c r="EN24" s="20"/>
      <c r="FB24" s="2" t="s">
        <v>62</v>
      </c>
      <c r="FC24" s="25">
        <f>(FB18*0.11)+(FB19*0.11)+(FB20*0.11)</f>
        <v>2046000</v>
      </c>
      <c r="FD24" s="4"/>
      <c r="FE24" s="20"/>
      <c r="FS24" s="2" t="s">
        <v>62</v>
      </c>
      <c r="FT24" s="25">
        <f>(FS18*0.11)+(FS19*0.11)+(FS20*0.11)</f>
        <v>704000</v>
      </c>
      <c r="FU24" s="4"/>
    </row>
    <row r="25">
      <c r="H25" s="9"/>
      <c r="I25" s="28"/>
      <c r="J25" s="29"/>
      <c r="M25" s="20"/>
      <c r="R25" s="28"/>
      <c r="T25" s="9"/>
      <c r="V25" s="2"/>
      <c r="Y25" s="20"/>
      <c r="AA25" s="28"/>
      <c r="AE25" s="28"/>
      <c r="AI25" s="9"/>
      <c r="AJ25" s="9"/>
      <c r="AM25" s="2"/>
      <c r="AN25" s="28"/>
      <c r="AO25" s="30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31"/>
      <c r="BA25" s="31"/>
      <c r="BB25" s="28"/>
      <c r="BC25" s="28"/>
      <c r="BD25" s="29"/>
      <c r="BE25" s="28"/>
      <c r="BF25" s="30"/>
      <c r="BG25" s="32"/>
      <c r="BH25" s="28"/>
      <c r="BI25" s="28"/>
      <c r="BJ25" s="28"/>
      <c r="BK25" s="28"/>
      <c r="BL25" s="28"/>
      <c r="BM25" s="28"/>
      <c r="BN25" s="28"/>
      <c r="BO25" s="28"/>
      <c r="BP25" s="28"/>
      <c r="BQ25" s="31"/>
      <c r="BR25" s="31"/>
      <c r="BS25" s="28"/>
      <c r="BT25" s="28"/>
      <c r="BU25" s="29"/>
      <c r="BV25" s="28"/>
      <c r="BW25" s="30"/>
      <c r="BX25" s="32"/>
      <c r="BY25" s="28"/>
      <c r="BZ25" s="28"/>
      <c r="CA25" s="28"/>
      <c r="CB25" s="28"/>
      <c r="CC25" s="28"/>
      <c r="CD25" s="28"/>
      <c r="CE25" s="28"/>
      <c r="CF25" s="28"/>
      <c r="CG25" s="28"/>
      <c r="CH25" s="31"/>
      <c r="CI25" s="31"/>
      <c r="CJ25" s="28"/>
      <c r="CK25" s="28"/>
      <c r="CL25" s="29"/>
      <c r="CM25" s="28"/>
      <c r="CN25" s="30"/>
      <c r="CO25" s="32"/>
      <c r="CP25" s="28"/>
      <c r="CQ25" s="28"/>
      <c r="CR25" s="28"/>
      <c r="CS25" s="28"/>
      <c r="CT25" s="28"/>
      <c r="CU25" s="28"/>
      <c r="CV25" s="28"/>
      <c r="CW25" s="28"/>
      <c r="CX25" s="28"/>
      <c r="CY25" s="31"/>
      <c r="CZ25" s="31"/>
      <c r="DA25" s="28"/>
      <c r="DB25" s="28"/>
      <c r="DC25" s="29"/>
      <c r="DD25" s="28"/>
      <c r="DE25" s="30"/>
      <c r="DF25" s="32"/>
      <c r="DG25" s="28"/>
      <c r="DH25" s="28"/>
      <c r="DI25" s="28"/>
      <c r="DJ25" s="28"/>
      <c r="DK25" s="28"/>
      <c r="DL25" s="28"/>
      <c r="DM25" s="28"/>
      <c r="DN25" s="28"/>
      <c r="DO25" s="28"/>
      <c r="DP25" s="31"/>
      <c r="DQ25" s="31"/>
      <c r="DR25" s="28"/>
      <c r="DS25" s="28"/>
      <c r="DT25" s="29"/>
      <c r="DU25" s="28"/>
      <c r="DV25" s="30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9" t="s">
        <v>63</v>
      </c>
      <c r="EL25" s="33">
        <f>EL22-EL23+EL24</f>
        <v>7858800</v>
      </c>
      <c r="EM25" s="30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9" t="s">
        <v>63</v>
      </c>
      <c r="FC25" s="33">
        <f>FC22-FC23+FC24</f>
        <v>20646000</v>
      </c>
      <c r="FD25" s="30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  <c r="FS25" s="29" t="s">
        <v>63</v>
      </c>
      <c r="FT25" s="33">
        <f>FT22-FT23+FT24</f>
        <v>7104000</v>
      </c>
      <c r="FU25" s="30"/>
    </row>
    <row r="26">
      <c r="A26" s="34"/>
      <c r="B26" s="34"/>
      <c r="C26" s="34"/>
      <c r="D26" s="34"/>
      <c r="E26" s="34"/>
      <c r="F26" s="34"/>
      <c r="G26" s="34"/>
      <c r="H26" s="34"/>
      <c r="J26" s="34"/>
      <c r="K26" s="34"/>
      <c r="L26" s="34"/>
      <c r="M26" s="34"/>
      <c r="N26" s="34"/>
      <c r="O26" s="34"/>
      <c r="P26" s="34"/>
      <c r="Q26" s="34"/>
      <c r="S26" s="34"/>
      <c r="T26" s="34"/>
      <c r="U26" s="34"/>
      <c r="V26" s="34"/>
      <c r="W26" s="34"/>
      <c r="X26" s="34"/>
      <c r="Y26" s="34"/>
      <c r="Z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9" max="9" width="8.75"/>
    <col customWidth="1" min="10" max="10" width="11.0"/>
    <col customWidth="1" min="11" max="11" width="13.13"/>
    <col customWidth="1" min="12" max="12" width="10.88"/>
    <col customWidth="1" min="13" max="13" width="12.13"/>
    <col customWidth="1" min="14" max="14" width="11.75"/>
    <col customWidth="1" min="15" max="15" width="8.75"/>
    <col customWidth="1" min="16" max="16" width="11.0"/>
    <col customWidth="1" min="17" max="18" width="8.75"/>
    <col customWidth="1" min="19" max="19" width="7.25"/>
    <col customWidth="1" min="26" max="26" width="14.5"/>
    <col customWidth="1" min="27" max="27" width="11.63"/>
    <col customWidth="1" min="28" max="28" width="25.13"/>
    <col customWidth="1" min="41" max="41" width="9.0"/>
    <col customWidth="1" min="42" max="42" width="18.25"/>
    <col customWidth="1" min="43" max="43" width="9.5"/>
    <col customWidth="1" min="44" max="44" width="10.25"/>
    <col customWidth="1" min="45" max="45" width="11.75"/>
    <col customWidth="1" min="46" max="46" width="13.13"/>
    <col customWidth="1" min="47" max="47" width="9.0"/>
    <col customWidth="1" min="48" max="48" width="13.13"/>
    <col customWidth="1" min="49" max="49" width="9.0"/>
    <col customWidth="1" min="50" max="50" width="13.13"/>
    <col customWidth="1" min="51" max="51" width="8.5"/>
    <col customWidth="1" min="52" max="52" width="13.13"/>
    <col customWidth="1" min="60" max="60" width="14.5"/>
  </cols>
  <sheetData>
    <row r="1">
      <c r="A1" s="1" t="s">
        <v>0</v>
      </c>
      <c r="B1" s="2" t="s">
        <v>1</v>
      </c>
      <c r="J1" s="1"/>
      <c r="M1" s="3" t="s">
        <v>2</v>
      </c>
      <c r="N1" s="2" t="s">
        <v>3</v>
      </c>
      <c r="V1" s="1"/>
      <c r="Y1" s="3" t="s">
        <v>64</v>
      </c>
      <c r="Z1" s="2" t="s">
        <v>4</v>
      </c>
      <c r="AM1" s="1"/>
      <c r="AO1" s="4"/>
      <c r="AP1" s="1" t="s">
        <v>2</v>
      </c>
      <c r="AQ1" s="2" t="s">
        <v>5</v>
      </c>
      <c r="BD1" s="1"/>
      <c r="BF1" s="4"/>
      <c r="BG1" s="3" t="s">
        <v>0</v>
      </c>
      <c r="BH1" s="2" t="s">
        <v>6</v>
      </c>
      <c r="BU1" s="1"/>
      <c r="BW1" s="4"/>
      <c r="BX1" s="3" t="s">
        <v>2</v>
      </c>
      <c r="BY1" s="2" t="s">
        <v>7</v>
      </c>
      <c r="CL1" s="1"/>
      <c r="CN1" s="4"/>
      <c r="CO1" s="3" t="s">
        <v>0</v>
      </c>
      <c r="CP1" s="2" t="s">
        <v>8</v>
      </c>
      <c r="DC1" s="1"/>
      <c r="DE1" s="4"/>
      <c r="DF1" s="1" t="s">
        <v>9</v>
      </c>
      <c r="DG1" s="2" t="s">
        <v>10</v>
      </c>
      <c r="DT1" s="1"/>
      <c r="DV1" s="4"/>
      <c r="DW1" s="3" t="s">
        <v>2</v>
      </c>
      <c r="DX1" s="2" t="s">
        <v>11</v>
      </c>
      <c r="EM1" s="4"/>
      <c r="EN1" s="3" t="s">
        <v>2</v>
      </c>
      <c r="EO1" s="2" t="s">
        <v>12</v>
      </c>
      <c r="FD1" s="4"/>
      <c r="FE1" s="3" t="s">
        <v>2</v>
      </c>
      <c r="FF1" s="2" t="s">
        <v>12</v>
      </c>
      <c r="FU1" s="4"/>
    </row>
    <row r="2">
      <c r="A2" s="1" t="s">
        <v>13</v>
      </c>
      <c r="E2" s="1" t="s">
        <v>14</v>
      </c>
      <c r="J2" s="1"/>
      <c r="M2" s="3" t="s">
        <v>13</v>
      </c>
      <c r="Q2" s="1" t="s">
        <v>14</v>
      </c>
      <c r="V2" s="1"/>
      <c r="Y2" s="3" t="s">
        <v>13</v>
      </c>
      <c r="AC2" s="1" t="s">
        <v>14</v>
      </c>
      <c r="AM2" s="1"/>
      <c r="AO2" s="4"/>
      <c r="AP2" s="1" t="s">
        <v>13</v>
      </c>
      <c r="AT2" s="1" t="s">
        <v>14</v>
      </c>
      <c r="BD2" s="1"/>
      <c r="BF2" s="4"/>
      <c r="BG2" s="3" t="s">
        <v>13</v>
      </c>
      <c r="BK2" s="1" t="s">
        <v>14</v>
      </c>
      <c r="BU2" s="1"/>
      <c r="BW2" s="4"/>
      <c r="BX2" s="3" t="s">
        <v>13</v>
      </c>
      <c r="CB2" s="1" t="s">
        <v>14</v>
      </c>
      <c r="CL2" s="1"/>
      <c r="CN2" s="4"/>
      <c r="CO2" s="3" t="s">
        <v>13</v>
      </c>
      <c r="CS2" s="1" t="s">
        <v>14</v>
      </c>
      <c r="DC2" s="1"/>
      <c r="DE2" s="4"/>
      <c r="DF2" s="3" t="s">
        <v>13</v>
      </c>
      <c r="DJ2" s="1" t="s">
        <v>14</v>
      </c>
      <c r="DT2" s="1"/>
      <c r="DV2" s="4"/>
      <c r="DW2" s="3" t="s">
        <v>13</v>
      </c>
      <c r="EA2" s="1" t="s">
        <v>14</v>
      </c>
      <c r="EM2" s="4"/>
      <c r="EN2" s="3" t="s">
        <v>13</v>
      </c>
      <c r="ER2" s="1" t="s">
        <v>14</v>
      </c>
      <c r="FD2" s="4"/>
      <c r="FE2" s="3" t="s">
        <v>13</v>
      </c>
      <c r="FI2" s="1" t="s">
        <v>14</v>
      </c>
      <c r="FU2" s="4"/>
    </row>
    <row r="3">
      <c r="A3" s="5" t="s">
        <v>15</v>
      </c>
      <c r="B3" s="5">
        <v>3000000.0</v>
      </c>
      <c r="C3" s="5">
        <v>5000000.0</v>
      </c>
      <c r="D3" s="5"/>
      <c r="E3" s="5">
        <v>2000.0</v>
      </c>
      <c r="F3" s="7"/>
      <c r="G3" s="8"/>
      <c r="H3" s="8"/>
      <c r="J3" s="9"/>
      <c r="K3" s="9"/>
      <c r="L3" s="10"/>
      <c r="M3" s="11" t="s">
        <v>15</v>
      </c>
      <c r="N3" s="5">
        <v>3000000.0</v>
      </c>
      <c r="O3" s="5">
        <v>5000000.0</v>
      </c>
      <c r="P3" s="5"/>
      <c r="Q3" s="5">
        <v>2000.0</v>
      </c>
      <c r="R3" s="7"/>
      <c r="S3" s="8"/>
      <c r="T3" s="8"/>
      <c r="V3" s="9"/>
      <c r="W3" s="9"/>
      <c r="X3" s="10"/>
      <c r="Y3" s="11" t="s">
        <v>15</v>
      </c>
      <c r="Z3" s="5">
        <v>3000000.0</v>
      </c>
      <c r="AA3" s="5">
        <v>5000000.0</v>
      </c>
      <c r="AB3" s="5"/>
      <c r="AC3" s="5">
        <v>2000.0</v>
      </c>
      <c r="AD3" s="7"/>
      <c r="AE3" s="7"/>
      <c r="AF3" s="8"/>
      <c r="AG3" s="8"/>
      <c r="AH3" s="8"/>
      <c r="AI3" s="8"/>
      <c r="AJ3" s="8"/>
      <c r="AM3" s="9"/>
      <c r="AN3" s="9"/>
      <c r="AO3" s="12"/>
      <c r="AP3" s="11" t="s">
        <v>15</v>
      </c>
      <c r="AQ3" s="5">
        <v>3000000.0</v>
      </c>
      <c r="AR3" s="5">
        <v>5000000.0</v>
      </c>
      <c r="AS3" s="5"/>
      <c r="AT3" s="5">
        <v>2000.0</v>
      </c>
      <c r="AU3" s="7"/>
      <c r="AV3" s="7"/>
      <c r="AW3" s="8"/>
      <c r="AX3" s="8"/>
      <c r="AY3" s="8"/>
      <c r="AZ3" s="8"/>
      <c r="BA3" s="8"/>
      <c r="BD3" s="9"/>
      <c r="BE3" s="9"/>
      <c r="BF3" s="12"/>
      <c r="BG3" s="11" t="s">
        <v>15</v>
      </c>
      <c r="BH3" s="5">
        <v>3000000.0</v>
      </c>
      <c r="BI3" s="5">
        <v>5000000.0</v>
      </c>
      <c r="BJ3" s="5"/>
      <c r="BK3" s="5">
        <v>2000.0</v>
      </c>
      <c r="BL3" s="7"/>
      <c r="BM3" s="7"/>
      <c r="BN3" s="8"/>
      <c r="BO3" s="8"/>
      <c r="BP3" s="8"/>
      <c r="BQ3" s="8"/>
      <c r="BR3" s="8"/>
      <c r="BU3" s="9"/>
      <c r="BV3" s="9"/>
      <c r="BW3" s="12"/>
      <c r="BX3" s="11" t="s">
        <v>15</v>
      </c>
      <c r="BY3" s="5">
        <v>3000000.0</v>
      </c>
      <c r="BZ3" s="5">
        <v>5000000.0</v>
      </c>
      <c r="CA3" s="5"/>
      <c r="CB3" s="5">
        <v>2000.0</v>
      </c>
      <c r="CC3" s="7"/>
      <c r="CD3" s="7"/>
      <c r="CE3" s="8"/>
      <c r="CF3" s="8"/>
      <c r="CG3" s="8"/>
      <c r="CH3" s="8"/>
      <c r="CI3" s="8"/>
      <c r="CL3" s="9"/>
      <c r="CM3" s="9"/>
      <c r="CN3" s="12"/>
      <c r="CO3" s="11" t="s">
        <v>15</v>
      </c>
      <c r="CP3" s="5">
        <v>3000000.0</v>
      </c>
      <c r="CQ3" s="5">
        <v>5000000.0</v>
      </c>
      <c r="CR3" s="5"/>
      <c r="CS3" s="5">
        <v>2000.0</v>
      </c>
      <c r="CT3" s="7"/>
      <c r="CU3" s="7"/>
      <c r="CV3" s="8"/>
      <c r="CW3" s="8"/>
      <c r="CX3" s="8"/>
      <c r="CY3" s="8"/>
      <c r="CZ3" s="8"/>
      <c r="DC3" s="9"/>
      <c r="DD3" s="9"/>
      <c r="DE3" s="12"/>
      <c r="DF3" s="11" t="s">
        <v>15</v>
      </c>
      <c r="DG3" s="5">
        <v>3000000.0</v>
      </c>
      <c r="DH3" s="5">
        <v>5000000.0</v>
      </c>
      <c r="DI3" s="5"/>
      <c r="DJ3" s="5">
        <v>2000.0</v>
      </c>
      <c r="DK3" s="7"/>
      <c r="DL3" s="7"/>
      <c r="DM3" s="8"/>
      <c r="DN3" s="8"/>
      <c r="DO3" s="8"/>
      <c r="DP3" s="8"/>
      <c r="DQ3" s="8"/>
      <c r="DT3" s="9"/>
      <c r="DU3" s="9"/>
      <c r="DV3" s="12"/>
      <c r="DW3" s="11" t="s">
        <v>15</v>
      </c>
      <c r="DX3" s="5">
        <v>3000000.0</v>
      </c>
      <c r="DY3" s="5">
        <v>5000000.0</v>
      </c>
      <c r="DZ3" s="5"/>
      <c r="EA3" s="5">
        <v>2000.0</v>
      </c>
      <c r="EB3" s="7"/>
      <c r="EC3" s="7"/>
      <c r="ED3" s="10"/>
      <c r="EE3" s="10"/>
      <c r="EF3" s="10"/>
      <c r="EG3" s="10"/>
      <c r="EH3" s="10"/>
      <c r="EI3" s="10"/>
      <c r="EJ3" s="10"/>
      <c r="EK3" s="10"/>
      <c r="EL3" s="10"/>
      <c r="EM3" s="12"/>
      <c r="EN3" s="11" t="s">
        <v>15</v>
      </c>
      <c r="EO3" s="5">
        <v>3000000.0</v>
      </c>
      <c r="EP3" s="5">
        <v>5000000.0</v>
      </c>
      <c r="EQ3" s="5"/>
      <c r="ER3" s="5">
        <v>2000.0</v>
      </c>
      <c r="ES3" s="7"/>
      <c r="ET3" s="7"/>
      <c r="EU3" s="10"/>
      <c r="EV3" s="10"/>
      <c r="EW3" s="10"/>
      <c r="EX3" s="10"/>
      <c r="EY3" s="10"/>
      <c r="EZ3" s="10"/>
      <c r="FA3" s="10"/>
      <c r="FB3" s="10"/>
      <c r="FC3" s="10"/>
      <c r="FD3" s="12"/>
      <c r="FE3" s="11" t="s">
        <v>15</v>
      </c>
      <c r="FF3" s="5">
        <v>3000000.0</v>
      </c>
      <c r="FG3" s="5">
        <v>5000000.0</v>
      </c>
      <c r="FH3" s="5"/>
      <c r="FI3" s="5">
        <v>2000.0</v>
      </c>
      <c r="FJ3" s="7"/>
      <c r="FK3" s="7"/>
      <c r="FL3" s="10"/>
      <c r="FM3" s="10"/>
      <c r="FN3" s="10"/>
      <c r="FO3" s="10"/>
      <c r="FP3" s="10"/>
      <c r="FQ3" s="10"/>
      <c r="FR3" s="10"/>
      <c r="FS3" s="10"/>
      <c r="FT3" s="10"/>
      <c r="FU3" s="12"/>
      <c r="FV3" s="10"/>
      <c r="FW3" s="10"/>
      <c r="FX3" s="10"/>
      <c r="FY3" s="10"/>
      <c r="FZ3" s="10"/>
      <c r="GA3" s="10"/>
    </row>
    <row r="4">
      <c r="A4" s="5" t="s">
        <v>16</v>
      </c>
      <c r="B4" s="5">
        <v>5000001.0</v>
      </c>
      <c r="C4" s="5">
        <v>1.0E7</v>
      </c>
      <c r="D4" s="13"/>
      <c r="E4" s="5">
        <v>3500.0</v>
      </c>
      <c r="F4" s="13"/>
      <c r="G4" s="13"/>
      <c r="H4" s="13"/>
      <c r="J4" s="2"/>
      <c r="M4" s="11" t="s">
        <v>16</v>
      </c>
      <c r="N4" s="5">
        <v>5000001.0</v>
      </c>
      <c r="O4" s="5">
        <v>1.0E7</v>
      </c>
      <c r="P4" s="13"/>
      <c r="Q4" s="5">
        <v>3500.0</v>
      </c>
      <c r="R4" s="13"/>
      <c r="S4" s="13"/>
      <c r="T4" s="13"/>
      <c r="V4" s="2"/>
      <c r="Y4" s="11" t="s">
        <v>16</v>
      </c>
      <c r="Z4" s="5">
        <v>5000001.0</v>
      </c>
      <c r="AA4" s="5">
        <v>1.0E7</v>
      </c>
      <c r="AB4" s="13"/>
      <c r="AC4" s="5">
        <v>3500.0</v>
      </c>
      <c r="AD4" s="13"/>
      <c r="AE4" s="13"/>
      <c r="AF4" s="13"/>
      <c r="AG4" s="13"/>
      <c r="AH4" s="13"/>
      <c r="AI4" s="13"/>
      <c r="AJ4" s="13"/>
      <c r="AM4" s="2"/>
      <c r="AO4" s="4"/>
      <c r="AP4" s="11" t="s">
        <v>16</v>
      </c>
      <c r="AQ4" s="5">
        <v>5000001.0</v>
      </c>
      <c r="AR4" s="5">
        <v>1.0E7</v>
      </c>
      <c r="AS4" s="13"/>
      <c r="AT4" s="5">
        <v>3500.0</v>
      </c>
      <c r="AU4" s="13"/>
      <c r="AV4" s="13"/>
      <c r="AW4" s="13"/>
      <c r="AX4" s="13"/>
      <c r="AY4" s="13"/>
      <c r="AZ4" s="13"/>
      <c r="BA4" s="13"/>
      <c r="BD4" s="2"/>
      <c r="BF4" s="4"/>
      <c r="BG4" s="11" t="s">
        <v>16</v>
      </c>
      <c r="BH4" s="5">
        <v>5000001.0</v>
      </c>
      <c r="BI4" s="5">
        <v>1.0E7</v>
      </c>
      <c r="BJ4" s="13"/>
      <c r="BK4" s="5">
        <v>3500.0</v>
      </c>
      <c r="BL4" s="13"/>
      <c r="BM4" s="13"/>
      <c r="BN4" s="13"/>
      <c r="BO4" s="13"/>
      <c r="BP4" s="13"/>
      <c r="BQ4" s="13"/>
      <c r="BR4" s="13"/>
      <c r="BU4" s="2"/>
      <c r="BW4" s="4"/>
      <c r="BX4" s="11" t="s">
        <v>16</v>
      </c>
      <c r="BY4" s="5">
        <v>5000001.0</v>
      </c>
      <c r="BZ4" s="5">
        <v>1.0E7</v>
      </c>
      <c r="CA4" s="13"/>
      <c r="CB4" s="5">
        <v>3500.0</v>
      </c>
      <c r="CC4" s="13"/>
      <c r="CD4" s="13"/>
      <c r="CE4" s="13"/>
      <c r="CF4" s="13"/>
      <c r="CG4" s="13"/>
      <c r="CH4" s="13"/>
      <c r="CI4" s="13"/>
      <c r="CL4" s="2"/>
      <c r="CN4" s="4"/>
      <c r="CO4" s="11" t="s">
        <v>16</v>
      </c>
      <c r="CP4" s="5">
        <v>5000001.0</v>
      </c>
      <c r="CQ4" s="5">
        <v>1.0E7</v>
      </c>
      <c r="CR4" s="13"/>
      <c r="CS4" s="5">
        <v>3500.0</v>
      </c>
      <c r="CT4" s="13"/>
      <c r="CU4" s="13"/>
      <c r="CV4" s="13"/>
      <c r="CW4" s="13"/>
      <c r="CX4" s="13"/>
      <c r="CY4" s="13"/>
      <c r="CZ4" s="13"/>
      <c r="DC4" s="2"/>
      <c r="DE4" s="4"/>
      <c r="DF4" s="11" t="s">
        <v>16</v>
      </c>
      <c r="DG4" s="5">
        <v>5000001.0</v>
      </c>
      <c r="DH4" s="5">
        <v>1.0E7</v>
      </c>
      <c r="DI4" s="13"/>
      <c r="DJ4" s="5">
        <v>3500.0</v>
      </c>
      <c r="DK4" s="13"/>
      <c r="DL4" s="13"/>
      <c r="DM4" s="13"/>
      <c r="DN4" s="13"/>
      <c r="DO4" s="13"/>
      <c r="DP4" s="13"/>
      <c r="DQ4" s="13"/>
      <c r="DT4" s="2"/>
      <c r="DV4" s="4"/>
      <c r="DW4" s="11" t="s">
        <v>16</v>
      </c>
      <c r="DX4" s="5">
        <v>5000001.0</v>
      </c>
      <c r="DY4" s="5">
        <v>1.0E7</v>
      </c>
      <c r="DZ4" s="13"/>
      <c r="EA4" s="5">
        <v>3500.0</v>
      </c>
      <c r="EB4" s="13"/>
      <c r="EC4" s="13"/>
      <c r="EM4" s="4"/>
      <c r="EN4" s="11" t="s">
        <v>16</v>
      </c>
      <c r="EO4" s="5">
        <v>5000001.0</v>
      </c>
      <c r="EP4" s="5">
        <v>1.0E7</v>
      </c>
      <c r="EQ4" s="13"/>
      <c r="ER4" s="5">
        <v>3500.0</v>
      </c>
      <c r="ES4" s="13"/>
      <c r="ET4" s="13"/>
      <c r="FD4" s="4"/>
      <c r="FE4" s="11" t="s">
        <v>16</v>
      </c>
      <c r="FF4" s="5">
        <v>5000001.0</v>
      </c>
      <c r="FG4" s="5">
        <v>1.0E7</v>
      </c>
      <c r="FH4" s="13"/>
      <c r="FI4" s="5">
        <v>3500.0</v>
      </c>
      <c r="FJ4" s="13"/>
      <c r="FK4" s="13"/>
      <c r="FU4" s="4"/>
    </row>
    <row r="5">
      <c r="A5" s="5" t="s">
        <v>17</v>
      </c>
      <c r="B5" s="5">
        <v>1.0000001E7</v>
      </c>
      <c r="C5" s="5">
        <v>1.5E7</v>
      </c>
      <c r="D5" s="14"/>
      <c r="E5" s="5">
        <v>5000.0</v>
      </c>
      <c r="F5" s="8"/>
      <c r="G5" s="8"/>
      <c r="H5" s="8"/>
      <c r="J5" s="9"/>
      <c r="K5" s="9"/>
      <c r="L5" s="10"/>
      <c r="M5" s="11" t="s">
        <v>17</v>
      </c>
      <c r="N5" s="5">
        <v>1.0000001E7</v>
      </c>
      <c r="O5" s="5">
        <v>1.5E7</v>
      </c>
      <c r="P5" s="14"/>
      <c r="Q5" s="5">
        <v>5000.0</v>
      </c>
      <c r="R5" s="8"/>
      <c r="S5" s="8"/>
      <c r="T5" s="8"/>
      <c r="V5" s="9"/>
      <c r="W5" s="9"/>
      <c r="X5" s="10"/>
      <c r="Y5" s="11" t="s">
        <v>17</v>
      </c>
      <c r="Z5" s="5">
        <v>1.0000001E7</v>
      </c>
      <c r="AA5" s="5">
        <v>1.5E7</v>
      </c>
      <c r="AB5" s="14"/>
      <c r="AC5" s="5">
        <v>5000.0</v>
      </c>
      <c r="AD5" s="8"/>
      <c r="AE5" s="8"/>
      <c r="AF5" s="8"/>
      <c r="AG5" s="8"/>
      <c r="AH5" s="8"/>
      <c r="AI5" s="8"/>
      <c r="AJ5" s="8"/>
      <c r="AM5" s="9"/>
      <c r="AN5" s="9"/>
      <c r="AO5" s="12"/>
      <c r="AP5" s="11" t="s">
        <v>17</v>
      </c>
      <c r="AQ5" s="5">
        <v>1.0000001E7</v>
      </c>
      <c r="AR5" s="5">
        <v>1.5E7</v>
      </c>
      <c r="AS5" s="14"/>
      <c r="AT5" s="5">
        <v>5000.0</v>
      </c>
      <c r="AU5" s="8"/>
      <c r="AV5" s="8"/>
      <c r="AW5" s="8"/>
      <c r="AX5" s="8"/>
      <c r="AY5" s="8"/>
      <c r="AZ5" s="8"/>
      <c r="BA5" s="8"/>
      <c r="BD5" s="9"/>
      <c r="BE5" s="9"/>
      <c r="BF5" s="12"/>
      <c r="BG5" s="11" t="s">
        <v>17</v>
      </c>
      <c r="BH5" s="5">
        <v>1.0000001E7</v>
      </c>
      <c r="BI5" s="5">
        <v>1.5E7</v>
      </c>
      <c r="BJ5" s="14"/>
      <c r="BK5" s="5">
        <v>5000.0</v>
      </c>
      <c r="BL5" s="8"/>
      <c r="BM5" s="8"/>
      <c r="BN5" s="8"/>
      <c r="BO5" s="8"/>
      <c r="BP5" s="8"/>
      <c r="BQ5" s="8"/>
      <c r="BR5" s="8"/>
      <c r="BU5" s="9"/>
      <c r="BV5" s="9"/>
      <c r="BW5" s="12"/>
      <c r="BX5" s="11" t="s">
        <v>17</v>
      </c>
      <c r="BY5" s="5">
        <v>1.0000001E7</v>
      </c>
      <c r="BZ5" s="5">
        <v>1.5E7</v>
      </c>
      <c r="CA5" s="14"/>
      <c r="CB5" s="5">
        <v>5000.0</v>
      </c>
      <c r="CC5" s="8"/>
      <c r="CD5" s="8"/>
      <c r="CE5" s="8"/>
      <c r="CF5" s="8"/>
      <c r="CG5" s="8"/>
      <c r="CH5" s="8"/>
      <c r="CI5" s="8"/>
      <c r="CL5" s="9"/>
      <c r="CM5" s="9"/>
      <c r="CN5" s="12"/>
      <c r="CO5" s="11" t="s">
        <v>17</v>
      </c>
      <c r="CP5" s="5">
        <v>1.0000001E7</v>
      </c>
      <c r="CQ5" s="5">
        <v>1.5E7</v>
      </c>
      <c r="CR5" s="14"/>
      <c r="CS5" s="5">
        <v>5000.0</v>
      </c>
      <c r="CT5" s="8"/>
      <c r="CU5" s="8"/>
      <c r="CV5" s="8"/>
      <c r="CW5" s="8"/>
      <c r="CX5" s="8"/>
      <c r="CY5" s="8"/>
      <c r="CZ5" s="8"/>
      <c r="DC5" s="9"/>
      <c r="DD5" s="9"/>
      <c r="DE5" s="12"/>
      <c r="DF5" s="11" t="s">
        <v>17</v>
      </c>
      <c r="DG5" s="5">
        <v>1.0000001E7</v>
      </c>
      <c r="DH5" s="5">
        <v>1.5E7</v>
      </c>
      <c r="DI5" s="14"/>
      <c r="DJ5" s="5">
        <v>5000.0</v>
      </c>
      <c r="DK5" s="8"/>
      <c r="DL5" s="8"/>
      <c r="DM5" s="8"/>
      <c r="DN5" s="8"/>
      <c r="DO5" s="8"/>
      <c r="DP5" s="8"/>
      <c r="DQ5" s="8"/>
      <c r="DT5" s="9"/>
      <c r="DU5" s="9"/>
      <c r="DV5" s="12"/>
      <c r="DW5" s="11" t="s">
        <v>17</v>
      </c>
      <c r="DX5" s="5">
        <v>1.0000001E7</v>
      </c>
      <c r="DY5" s="5">
        <v>1.5E7</v>
      </c>
      <c r="DZ5" s="14"/>
      <c r="EA5" s="5">
        <v>5000.0</v>
      </c>
      <c r="EB5" s="8"/>
      <c r="EC5" s="8"/>
      <c r="ED5" s="10"/>
      <c r="EE5" s="10"/>
      <c r="EF5" s="10"/>
      <c r="EG5" s="10"/>
      <c r="EH5" s="10"/>
      <c r="EI5" s="10"/>
      <c r="EJ5" s="10"/>
      <c r="EK5" s="10"/>
      <c r="EL5" s="10"/>
      <c r="EM5" s="12"/>
      <c r="EN5" s="11" t="s">
        <v>17</v>
      </c>
      <c r="EO5" s="5">
        <v>1.0000001E7</v>
      </c>
      <c r="EP5" s="5">
        <v>1.5E7</v>
      </c>
      <c r="EQ5" s="14"/>
      <c r="ER5" s="5">
        <v>5000.0</v>
      </c>
      <c r="ES5" s="8"/>
      <c r="ET5" s="8"/>
      <c r="EU5" s="10"/>
      <c r="EV5" s="10"/>
      <c r="EW5" s="10"/>
      <c r="EX5" s="10"/>
      <c r="EY5" s="10"/>
      <c r="EZ5" s="10"/>
      <c r="FA5" s="10"/>
      <c r="FB5" s="10"/>
      <c r="FC5" s="10"/>
      <c r="FD5" s="12"/>
      <c r="FE5" s="11" t="s">
        <v>17</v>
      </c>
      <c r="FF5" s="5">
        <v>1.0000001E7</v>
      </c>
      <c r="FG5" s="5">
        <v>1.5E7</v>
      </c>
      <c r="FH5" s="14"/>
      <c r="FI5" s="5">
        <v>5000.0</v>
      </c>
      <c r="FJ5" s="8"/>
      <c r="FK5" s="8"/>
      <c r="FL5" s="10"/>
      <c r="FM5" s="10"/>
      <c r="FN5" s="10"/>
      <c r="FO5" s="10"/>
      <c r="FP5" s="10"/>
      <c r="FQ5" s="10"/>
      <c r="FR5" s="10"/>
      <c r="FS5" s="10"/>
      <c r="FT5" s="10"/>
      <c r="FU5" s="12"/>
      <c r="FV5" s="10"/>
      <c r="FW5" s="10"/>
      <c r="FX5" s="10"/>
      <c r="FY5" s="10"/>
      <c r="FZ5" s="10"/>
      <c r="GA5" s="10"/>
    </row>
    <row r="6">
      <c r="A6" s="5" t="s">
        <v>18</v>
      </c>
      <c r="B6" s="5">
        <v>1.5000001E7</v>
      </c>
      <c r="C6" s="5">
        <v>2.0E7</v>
      </c>
      <c r="D6" s="13"/>
      <c r="E6" s="5">
        <v>6500.0</v>
      </c>
      <c r="F6" s="13"/>
      <c r="G6" s="13"/>
      <c r="H6" s="13"/>
      <c r="J6" s="2"/>
      <c r="M6" s="11" t="s">
        <v>18</v>
      </c>
      <c r="N6" s="5">
        <v>1.5000001E7</v>
      </c>
      <c r="O6" s="5">
        <v>2.0E7</v>
      </c>
      <c r="P6" s="13"/>
      <c r="Q6" s="5">
        <v>6500.0</v>
      </c>
      <c r="R6" s="13"/>
      <c r="S6" s="13"/>
      <c r="T6" s="13"/>
      <c r="V6" s="2"/>
      <c r="Y6" s="11" t="s">
        <v>18</v>
      </c>
      <c r="Z6" s="5">
        <v>1.5000001E7</v>
      </c>
      <c r="AA6" s="5">
        <v>2.0E7</v>
      </c>
      <c r="AB6" s="13"/>
      <c r="AC6" s="5">
        <v>6500.0</v>
      </c>
      <c r="AD6" s="13"/>
      <c r="AE6" s="13"/>
      <c r="AF6" s="13"/>
      <c r="AG6" s="13"/>
      <c r="AH6" s="13"/>
      <c r="AI6" s="13"/>
      <c r="AJ6" s="13"/>
      <c r="AM6" s="2"/>
      <c r="AO6" s="4"/>
      <c r="AP6" s="11" t="s">
        <v>18</v>
      </c>
      <c r="AQ6" s="5">
        <v>1.5000001E7</v>
      </c>
      <c r="AR6" s="5">
        <v>2.0E7</v>
      </c>
      <c r="AS6" s="13"/>
      <c r="AT6" s="5">
        <v>6500.0</v>
      </c>
      <c r="AU6" s="13"/>
      <c r="AV6" s="13"/>
      <c r="AW6" s="13"/>
      <c r="AX6" s="13"/>
      <c r="AY6" s="13"/>
      <c r="AZ6" s="13"/>
      <c r="BA6" s="13"/>
      <c r="BD6" s="2"/>
      <c r="BF6" s="4"/>
      <c r="BG6" s="11" t="s">
        <v>18</v>
      </c>
      <c r="BH6" s="5">
        <v>1.5000001E7</v>
      </c>
      <c r="BI6" s="5">
        <v>2.0E7</v>
      </c>
      <c r="BJ6" s="13"/>
      <c r="BK6" s="5">
        <v>6500.0</v>
      </c>
      <c r="BL6" s="13"/>
      <c r="BM6" s="13"/>
      <c r="BN6" s="13"/>
      <c r="BO6" s="13"/>
      <c r="BP6" s="13"/>
      <c r="BQ6" s="13"/>
      <c r="BR6" s="13"/>
      <c r="BU6" s="2"/>
      <c r="BW6" s="4"/>
      <c r="BX6" s="11" t="s">
        <v>18</v>
      </c>
      <c r="BY6" s="5">
        <v>1.5000001E7</v>
      </c>
      <c r="BZ6" s="5">
        <v>2.0E7</v>
      </c>
      <c r="CA6" s="13"/>
      <c r="CB6" s="5">
        <v>6500.0</v>
      </c>
      <c r="CC6" s="13"/>
      <c r="CD6" s="13"/>
      <c r="CE6" s="13"/>
      <c r="CF6" s="13"/>
      <c r="CG6" s="13"/>
      <c r="CH6" s="13"/>
      <c r="CI6" s="13"/>
      <c r="CL6" s="2"/>
      <c r="CN6" s="4"/>
      <c r="CO6" s="11" t="s">
        <v>18</v>
      </c>
      <c r="CP6" s="5">
        <v>1.5000001E7</v>
      </c>
      <c r="CQ6" s="5">
        <v>2.0E7</v>
      </c>
      <c r="CR6" s="13"/>
      <c r="CS6" s="5">
        <v>6500.0</v>
      </c>
      <c r="CT6" s="13"/>
      <c r="CU6" s="13"/>
      <c r="CV6" s="13"/>
      <c r="CW6" s="13"/>
      <c r="CX6" s="13"/>
      <c r="CY6" s="13"/>
      <c r="CZ6" s="13"/>
      <c r="DC6" s="2"/>
      <c r="DE6" s="4"/>
      <c r="DF6" s="11" t="s">
        <v>18</v>
      </c>
      <c r="DG6" s="5">
        <v>1.5000001E7</v>
      </c>
      <c r="DH6" s="5">
        <v>2.0E7</v>
      </c>
      <c r="DI6" s="13"/>
      <c r="DJ6" s="5">
        <v>6500.0</v>
      </c>
      <c r="DK6" s="13"/>
      <c r="DL6" s="13"/>
      <c r="DM6" s="13"/>
      <c r="DN6" s="13"/>
      <c r="DO6" s="13"/>
      <c r="DP6" s="13"/>
      <c r="DQ6" s="13"/>
      <c r="DT6" s="2"/>
      <c r="DV6" s="4"/>
      <c r="DW6" s="11" t="s">
        <v>18</v>
      </c>
      <c r="DX6" s="5">
        <v>1.5000001E7</v>
      </c>
      <c r="DY6" s="5">
        <v>2.0E7</v>
      </c>
      <c r="DZ6" s="13"/>
      <c r="EA6" s="5">
        <v>6500.0</v>
      </c>
      <c r="EB6" s="13"/>
      <c r="EC6" s="13"/>
      <c r="EM6" s="4"/>
      <c r="EN6" s="11" t="s">
        <v>18</v>
      </c>
      <c r="EO6" s="5">
        <v>1.5000001E7</v>
      </c>
      <c r="EP6" s="5">
        <v>2.0E7</v>
      </c>
      <c r="EQ6" s="13"/>
      <c r="ER6" s="5">
        <v>6500.0</v>
      </c>
      <c r="ES6" s="13"/>
      <c r="ET6" s="13"/>
      <c r="FD6" s="4"/>
      <c r="FE6" s="11" t="s">
        <v>18</v>
      </c>
      <c r="FF6" s="5">
        <v>1.5000001E7</v>
      </c>
      <c r="FG6" s="5">
        <v>2.0E7</v>
      </c>
      <c r="FH6" s="13"/>
      <c r="FI6" s="5">
        <v>6500.0</v>
      </c>
      <c r="FJ6" s="13"/>
      <c r="FK6" s="13"/>
      <c r="FU6" s="4"/>
    </row>
    <row r="7">
      <c r="A7" s="5" t="s">
        <v>19</v>
      </c>
      <c r="B7" s="5">
        <v>2.0000001E7</v>
      </c>
      <c r="C7" s="5">
        <v>9.99999999E8</v>
      </c>
      <c r="D7" s="14"/>
      <c r="E7" s="5">
        <v>8000.0</v>
      </c>
      <c r="F7" s="8"/>
      <c r="G7" s="8"/>
      <c r="H7" s="8"/>
      <c r="J7" s="9"/>
      <c r="K7" s="9"/>
      <c r="L7" s="10"/>
      <c r="M7" s="11" t="s">
        <v>19</v>
      </c>
      <c r="N7" s="5">
        <v>2.0000001E7</v>
      </c>
      <c r="O7" s="5">
        <v>9.99999999E8</v>
      </c>
      <c r="P7" s="14"/>
      <c r="Q7" s="5">
        <v>8000.0</v>
      </c>
      <c r="R7" s="8"/>
      <c r="S7" s="8"/>
      <c r="T7" s="8"/>
      <c r="V7" s="9"/>
      <c r="W7" s="9"/>
      <c r="X7" s="10"/>
      <c r="Y7" s="11" t="s">
        <v>19</v>
      </c>
      <c r="Z7" s="5">
        <v>2.0000001E7</v>
      </c>
      <c r="AA7" s="5">
        <v>9.99999999E8</v>
      </c>
      <c r="AB7" s="14"/>
      <c r="AC7" s="5">
        <v>8000.0</v>
      </c>
      <c r="AD7" s="8"/>
      <c r="AE7" s="8"/>
      <c r="AF7" s="8"/>
      <c r="AG7" s="8"/>
      <c r="AH7" s="8"/>
      <c r="AI7" s="8"/>
      <c r="AJ7" s="8"/>
      <c r="AM7" s="9"/>
      <c r="AN7" s="9"/>
      <c r="AO7" s="12"/>
      <c r="AP7" s="11" t="s">
        <v>19</v>
      </c>
      <c r="AQ7" s="5">
        <v>2.0000001E7</v>
      </c>
      <c r="AR7" s="5">
        <v>9.99999999E8</v>
      </c>
      <c r="AS7" s="14"/>
      <c r="AT7" s="5">
        <v>8000.0</v>
      </c>
      <c r="AU7" s="8"/>
      <c r="AV7" s="8"/>
      <c r="AW7" s="8"/>
      <c r="AX7" s="8"/>
      <c r="AY7" s="8"/>
      <c r="AZ7" s="8"/>
      <c r="BA7" s="8"/>
      <c r="BD7" s="9"/>
      <c r="BE7" s="9"/>
      <c r="BF7" s="12"/>
      <c r="BG7" s="11" t="s">
        <v>19</v>
      </c>
      <c r="BH7" s="5">
        <v>2.0000001E7</v>
      </c>
      <c r="BI7" s="5">
        <v>9.99999999E8</v>
      </c>
      <c r="BJ7" s="14"/>
      <c r="BK7" s="5">
        <v>8000.0</v>
      </c>
      <c r="BL7" s="8"/>
      <c r="BM7" s="8"/>
      <c r="BN7" s="8"/>
      <c r="BO7" s="8"/>
      <c r="BP7" s="8"/>
      <c r="BQ7" s="8"/>
      <c r="BR7" s="8"/>
      <c r="BU7" s="9"/>
      <c r="BV7" s="9"/>
      <c r="BW7" s="12"/>
      <c r="BX7" s="11" t="s">
        <v>19</v>
      </c>
      <c r="BY7" s="5">
        <v>2.0000001E7</v>
      </c>
      <c r="BZ7" s="5">
        <v>9.99999999E8</v>
      </c>
      <c r="CA7" s="14"/>
      <c r="CB7" s="5">
        <v>8000.0</v>
      </c>
      <c r="CC7" s="8"/>
      <c r="CD7" s="8"/>
      <c r="CE7" s="8"/>
      <c r="CF7" s="8"/>
      <c r="CG7" s="8"/>
      <c r="CH7" s="8"/>
      <c r="CI7" s="8"/>
      <c r="CL7" s="9"/>
      <c r="CM7" s="9"/>
      <c r="CN7" s="12"/>
      <c r="CO7" s="11" t="s">
        <v>19</v>
      </c>
      <c r="CP7" s="5">
        <v>2.0000001E7</v>
      </c>
      <c r="CQ7" s="5">
        <v>9.99999999E8</v>
      </c>
      <c r="CR7" s="14"/>
      <c r="CS7" s="5">
        <v>8000.0</v>
      </c>
      <c r="CT7" s="8"/>
      <c r="CU7" s="8"/>
      <c r="CV7" s="8"/>
      <c r="CW7" s="8"/>
      <c r="CX7" s="8"/>
      <c r="CY7" s="8"/>
      <c r="CZ7" s="8"/>
      <c r="DC7" s="9"/>
      <c r="DD7" s="9"/>
      <c r="DE7" s="12"/>
      <c r="DF7" s="11" t="s">
        <v>19</v>
      </c>
      <c r="DG7" s="5">
        <v>2.0000001E7</v>
      </c>
      <c r="DH7" s="5">
        <v>9.99999999E8</v>
      </c>
      <c r="DI7" s="14"/>
      <c r="DJ7" s="5">
        <v>8000.0</v>
      </c>
      <c r="DK7" s="8"/>
      <c r="DL7" s="8"/>
      <c r="DM7" s="8"/>
      <c r="DN7" s="8"/>
      <c r="DO7" s="8"/>
      <c r="DP7" s="8"/>
      <c r="DQ7" s="8"/>
      <c r="DT7" s="9"/>
      <c r="DU7" s="9"/>
      <c r="DV7" s="12"/>
      <c r="DW7" s="11" t="s">
        <v>19</v>
      </c>
      <c r="DX7" s="5">
        <v>2.0000001E7</v>
      </c>
      <c r="DY7" s="5">
        <v>9.99999999E8</v>
      </c>
      <c r="DZ7" s="14"/>
      <c r="EA7" s="5">
        <v>8000.0</v>
      </c>
      <c r="EB7" s="8"/>
      <c r="EC7" s="8"/>
      <c r="ED7" s="10"/>
      <c r="EE7" s="10"/>
      <c r="EF7" s="10"/>
      <c r="EG7" s="10"/>
      <c r="EH7" s="10"/>
      <c r="EI7" s="10"/>
      <c r="EJ7" s="10"/>
      <c r="EK7" s="10"/>
      <c r="EL7" s="10"/>
      <c r="EM7" s="12"/>
      <c r="EN7" s="11" t="s">
        <v>19</v>
      </c>
      <c r="EO7" s="5">
        <v>2.0000001E7</v>
      </c>
      <c r="EP7" s="5">
        <v>9.99999999E8</v>
      </c>
      <c r="EQ7" s="14"/>
      <c r="ER7" s="5">
        <v>8000.0</v>
      </c>
      <c r="ES7" s="8"/>
      <c r="ET7" s="8"/>
      <c r="EU7" s="10"/>
      <c r="EV7" s="10"/>
      <c r="EW7" s="10"/>
      <c r="EX7" s="10"/>
      <c r="EY7" s="10"/>
      <c r="EZ7" s="10"/>
      <c r="FA7" s="10"/>
      <c r="FB7" s="10"/>
      <c r="FC7" s="10"/>
      <c r="FD7" s="12"/>
      <c r="FE7" s="11" t="s">
        <v>19</v>
      </c>
      <c r="FF7" s="5">
        <v>2.0000001E7</v>
      </c>
      <c r="FG7" s="5">
        <v>9.99999999E8</v>
      </c>
      <c r="FH7" s="14"/>
      <c r="FI7" s="5">
        <v>8000.0</v>
      </c>
      <c r="FJ7" s="8"/>
      <c r="FK7" s="8"/>
      <c r="FL7" s="10"/>
      <c r="FM7" s="10"/>
      <c r="FN7" s="10"/>
      <c r="FO7" s="10"/>
      <c r="FP7" s="10"/>
      <c r="FQ7" s="10"/>
      <c r="FR7" s="10"/>
      <c r="FS7" s="10"/>
      <c r="FT7" s="10"/>
      <c r="FU7" s="12"/>
      <c r="FV7" s="10"/>
      <c r="FW7" s="10"/>
      <c r="FX7" s="10"/>
      <c r="FY7" s="10"/>
      <c r="FZ7" s="10"/>
      <c r="GA7" s="10"/>
    </row>
    <row r="8">
      <c r="A8" s="16"/>
      <c r="B8" s="13"/>
      <c r="C8" s="13"/>
      <c r="D8" s="13"/>
      <c r="E8" s="13"/>
      <c r="F8" s="13"/>
      <c r="G8" s="8"/>
      <c r="H8" s="8"/>
      <c r="J8" s="1"/>
      <c r="M8" s="17"/>
      <c r="N8" s="13"/>
      <c r="O8" s="13"/>
      <c r="P8" s="13"/>
      <c r="Q8" s="13"/>
      <c r="R8" s="13"/>
      <c r="S8" s="8"/>
      <c r="T8" s="8"/>
      <c r="V8" s="1"/>
      <c r="Y8" s="17"/>
      <c r="Z8" s="13"/>
      <c r="AA8" s="13"/>
      <c r="AB8" s="13"/>
      <c r="AC8" s="13"/>
      <c r="AD8" s="13"/>
      <c r="AE8" s="13"/>
      <c r="AF8" s="8"/>
      <c r="AG8" s="8"/>
      <c r="AH8" s="8"/>
      <c r="AI8" s="8"/>
      <c r="AJ8" s="8"/>
      <c r="AM8" s="1"/>
      <c r="AO8" s="4"/>
      <c r="AP8" s="16"/>
      <c r="AQ8" s="13"/>
      <c r="AR8" s="13"/>
      <c r="AS8" s="13"/>
      <c r="AT8" s="13"/>
      <c r="AU8" s="13"/>
      <c r="AV8" s="13"/>
      <c r="AW8" s="8"/>
      <c r="AX8" s="8"/>
      <c r="AY8" s="8"/>
      <c r="AZ8" s="8"/>
      <c r="BA8" s="8"/>
      <c r="BD8" s="1"/>
      <c r="BF8" s="4"/>
      <c r="BG8" s="17"/>
      <c r="BH8" s="13"/>
      <c r="BI8" s="13"/>
      <c r="BJ8" s="13"/>
      <c r="BK8" s="13"/>
      <c r="BL8" s="13"/>
      <c r="BM8" s="13"/>
      <c r="BN8" s="8"/>
      <c r="BO8" s="8"/>
      <c r="BP8" s="8"/>
      <c r="BQ8" s="8"/>
      <c r="BR8" s="8"/>
      <c r="BU8" s="1"/>
      <c r="BW8" s="4"/>
      <c r="BX8" s="17"/>
      <c r="BY8" s="13"/>
      <c r="BZ8" s="13"/>
      <c r="CA8" s="13"/>
      <c r="CB8" s="13"/>
      <c r="CC8" s="13"/>
      <c r="CD8" s="13"/>
      <c r="CE8" s="8"/>
      <c r="CF8" s="8"/>
      <c r="CG8" s="8"/>
      <c r="CH8" s="8"/>
      <c r="CI8" s="8"/>
      <c r="CL8" s="1"/>
      <c r="CN8" s="4"/>
      <c r="CO8" s="17"/>
      <c r="CP8" s="13"/>
      <c r="CQ8" s="13"/>
      <c r="CR8" s="13"/>
      <c r="CS8" s="13"/>
      <c r="CT8" s="13"/>
      <c r="CU8" s="13"/>
      <c r="CV8" s="8"/>
      <c r="CW8" s="8"/>
      <c r="CX8" s="8"/>
      <c r="CY8" s="8"/>
      <c r="CZ8" s="8"/>
      <c r="DC8" s="1"/>
      <c r="DE8" s="4"/>
      <c r="DF8" s="17"/>
      <c r="DG8" s="13"/>
      <c r="DH8" s="13"/>
      <c r="DI8" s="13"/>
      <c r="DJ8" s="13"/>
      <c r="DK8" s="13"/>
      <c r="DL8" s="13"/>
      <c r="DM8" s="8"/>
      <c r="DN8" s="8"/>
      <c r="DO8" s="8"/>
      <c r="DP8" s="8"/>
      <c r="DQ8" s="8"/>
      <c r="DT8" s="1"/>
      <c r="DV8" s="4"/>
      <c r="DW8" s="17"/>
      <c r="DX8" s="13"/>
      <c r="DY8" s="13"/>
      <c r="DZ8" s="13"/>
      <c r="EA8" s="13"/>
      <c r="EB8" s="13"/>
      <c r="EC8" s="13"/>
      <c r="EM8" s="4"/>
      <c r="EN8" s="17"/>
      <c r="EO8" s="13"/>
      <c r="EP8" s="13"/>
      <c r="EQ8" s="13"/>
      <c r="ER8" s="13"/>
      <c r="ES8" s="13"/>
      <c r="ET8" s="13"/>
      <c r="FD8" s="4"/>
      <c r="FE8" s="17"/>
      <c r="FF8" s="13"/>
      <c r="FG8" s="13"/>
      <c r="FH8" s="13"/>
      <c r="FI8" s="13"/>
      <c r="FJ8" s="13"/>
      <c r="FK8" s="13"/>
      <c r="FU8" s="4"/>
    </row>
    <row r="9">
      <c r="A9" s="1" t="s">
        <v>20</v>
      </c>
      <c r="J9" s="2"/>
      <c r="M9" s="3" t="s">
        <v>20</v>
      </c>
      <c r="V9" s="2"/>
      <c r="Y9" s="3" t="s">
        <v>20</v>
      </c>
      <c r="AM9" s="2"/>
      <c r="AO9" s="4"/>
      <c r="AP9" s="1" t="s">
        <v>20</v>
      </c>
      <c r="BD9" s="2"/>
      <c r="BF9" s="4"/>
      <c r="BG9" s="3" t="s">
        <v>20</v>
      </c>
      <c r="BU9" s="2"/>
      <c r="BW9" s="4"/>
      <c r="BX9" s="3" t="s">
        <v>20</v>
      </c>
      <c r="CL9" s="2"/>
      <c r="CN9" s="4"/>
      <c r="CO9" s="3" t="s">
        <v>20</v>
      </c>
      <c r="DC9" s="2"/>
      <c r="DE9" s="4"/>
      <c r="DF9" s="3" t="s">
        <v>20</v>
      </c>
      <c r="DT9" s="2"/>
      <c r="DV9" s="4"/>
      <c r="DW9" s="3" t="s">
        <v>20</v>
      </c>
      <c r="EM9" s="4"/>
      <c r="EN9" s="3" t="s">
        <v>20</v>
      </c>
      <c r="FD9" s="4"/>
      <c r="FE9" s="3" t="s">
        <v>20</v>
      </c>
      <c r="FU9" s="4"/>
    </row>
    <row r="10">
      <c r="A10" s="2" t="s">
        <v>21</v>
      </c>
      <c r="B10" s="2" t="s">
        <v>22</v>
      </c>
      <c r="C10" s="2" t="s">
        <v>23</v>
      </c>
      <c r="D10" s="2" t="s">
        <v>24</v>
      </c>
      <c r="J10" s="2"/>
      <c r="K10" s="9"/>
      <c r="L10" s="9"/>
      <c r="M10" s="18" t="s">
        <v>21</v>
      </c>
      <c r="N10" s="2" t="s">
        <v>22</v>
      </c>
      <c r="O10" s="2" t="s">
        <v>23</v>
      </c>
      <c r="P10" s="2" t="s">
        <v>24</v>
      </c>
      <c r="V10" s="2"/>
      <c r="W10" s="9"/>
      <c r="X10" s="9"/>
      <c r="Y10" s="18" t="s">
        <v>21</v>
      </c>
      <c r="Z10" s="2" t="s">
        <v>22</v>
      </c>
      <c r="AA10" s="2" t="s">
        <v>23</v>
      </c>
      <c r="AB10" s="2" t="s">
        <v>24</v>
      </c>
      <c r="AM10" s="2"/>
      <c r="AN10" s="9"/>
      <c r="AO10" s="19"/>
      <c r="AP10" s="2" t="s">
        <v>21</v>
      </c>
      <c r="AQ10" s="2" t="s">
        <v>22</v>
      </c>
      <c r="AR10" s="2" t="s">
        <v>23</v>
      </c>
      <c r="AS10" s="2" t="s">
        <v>24</v>
      </c>
      <c r="BD10" s="2"/>
      <c r="BE10" s="9"/>
      <c r="BF10" s="19"/>
      <c r="BG10" s="18" t="s">
        <v>21</v>
      </c>
      <c r="BH10" s="2" t="s">
        <v>22</v>
      </c>
      <c r="BI10" s="2" t="s">
        <v>23</v>
      </c>
      <c r="BJ10" s="2" t="s">
        <v>24</v>
      </c>
      <c r="BU10" s="2"/>
      <c r="BV10" s="9"/>
      <c r="BW10" s="19"/>
      <c r="BX10" s="18" t="s">
        <v>21</v>
      </c>
      <c r="BY10" s="2" t="s">
        <v>22</v>
      </c>
      <c r="BZ10" s="2" t="s">
        <v>23</v>
      </c>
      <c r="CA10" s="2" t="s">
        <v>24</v>
      </c>
      <c r="CL10" s="2"/>
      <c r="CM10" s="9"/>
      <c r="CN10" s="19"/>
      <c r="CO10" s="18" t="s">
        <v>21</v>
      </c>
      <c r="CP10" s="2" t="s">
        <v>22</v>
      </c>
      <c r="CQ10" s="2" t="s">
        <v>23</v>
      </c>
      <c r="CR10" s="2" t="s">
        <v>24</v>
      </c>
      <c r="DC10" s="2"/>
      <c r="DD10" s="9"/>
      <c r="DE10" s="19"/>
      <c r="DF10" s="18" t="s">
        <v>21</v>
      </c>
      <c r="DG10" s="2" t="s">
        <v>22</v>
      </c>
      <c r="DH10" s="2" t="s">
        <v>23</v>
      </c>
      <c r="DI10" s="2" t="s">
        <v>24</v>
      </c>
      <c r="DT10" s="2"/>
      <c r="DU10" s="9"/>
      <c r="DV10" s="19"/>
      <c r="DW10" s="18" t="s">
        <v>21</v>
      </c>
      <c r="DX10" s="2" t="s">
        <v>25</v>
      </c>
      <c r="DY10" s="2" t="s">
        <v>26</v>
      </c>
      <c r="DZ10" s="2" t="s">
        <v>22</v>
      </c>
      <c r="EA10" s="2" t="s">
        <v>23</v>
      </c>
      <c r="EB10" s="2" t="s">
        <v>24</v>
      </c>
      <c r="ED10" s="9"/>
      <c r="EE10" s="9"/>
      <c r="EF10" s="9"/>
      <c r="EG10" s="9"/>
      <c r="EH10" s="9"/>
      <c r="EI10" s="9"/>
      <c r="EJ10" s="9"/>
      <c r="EK10" s="9"/>
      <c r="EL10" s="9"/>
      <c r="EM10" s="19"/>
      <c r="EN10" s="18" t="s">
        <v>21</v>
      </c>
      <c r="EO10" s="2" t="s">
        <v>25</v>
      </c>
      <c r="EP10" s="2" t="s">
        <v>26</v>
      </c>
      <c r="EQ10" s="2" t="s">
        <v>22</v>
      </c>
      <c r="ER10" s="2" t="s">
        <v>23</v>
      </c>
      <c r="ES10" s="2" t="s">
        <v>24</v>
      </c>
      <c r="EU10" s="9"/>
      <c r="EV10" s="9"/>
      <c r="EW10" s="9"/>
      <c r="EX10" s="9"/>
      <c r="EY10" s="9"/>
      <c r="EZ10" s="9"/>
      <c r="FA10" s="9"/>
      <c r="FB10" s="9"/>
      <c r="FC10" s="9"/>
      <c r="FD10" s="19"/>
      <c r="FE10" s="18" t="s">
        <v>21</v>
      </c>
      <c r="FF10" s="2" t="s">
        <v>25</v>
      </c>
      <c r="FG10" s="2" t="s">
        <v>26</v>
      </c>
      <c r="FH10" s="2" t="s">
        <v>22</v>
      </c>
      <c r="FI10" s="2" t="s">
        <v>23</v>
      </c>
      <c r="FJ10" s="2" t="s">
        <v>24</v>
      </c>
      <c r="FL10" s="9"/>
      <c r="FM10" s="9"/>
      <c r="FN10" s="9"/>
      <c r="FO10" s="9"/>
      <c r="FP10" s="9"/>
      <c r="FQ10" s="9"/>
      <c r="FR10" s="9"/>
      <c r="FS10" s="9"/>
      <c r="FT10" s="9"/>
      <c r="FU10" s="19"/>
      <c r="FV10" s="9"/>
      <c r="FW10" s="9"/>
      <c r="FX10" s="9"/>
      <c r="FY10" s="9"/>
      <c r="FZ10" s="9"/>
      <c r="GA10" s="9"/>
    </row>
    <row r="11">
      <c r="A11" s="2" t="s">
        <v>27</v>
      </c>
      <c r="B11" s="9">
        <v>200000.0</v>
      </c>
      <c r="C11" s="9">
        <v>220000.0</v>
      </c>
      <c r="D11" s="9">
        <v>180000.0</v>
      </c>
      <c r="J11" s="2"/>
      <c r="K11" s="9"/>
      <c r="L11" s="9"/>
      <c r="M11" s="18" t="s">
        <v>27</v>
      </c>
      <c r="N11" s="9">
        <v>200000.0</v>
      </c>
      <c r="O11" s="9">
        <v>220000.0</v>
      </c>
      <c r="P11" s="9">
        <v>180000.0</v>
      </c>
      <c r="V11" s="2"/>
      <c r="W11" s="9"/>
      <c r="X11" s="9"/>
      <c r="Y11" s="18" t="s">
        <v>27</v>
      </c>
      <c r="Z11" s="9">
        <v>200000.0</v>
      </c>
      <c r="AA11" s="9">
        <v>220000.0</v>
      </c>
      <c r="AB11" s="9">
        <v>180000.0</v>
      </c>
      <c r="AM11" s="2"/>
      <c r="AN11" s="9"/>
      <c r="AO11" s="19"/>
      <c r="AP11" s="2" t="s">
        <v>27</v>
      </c>
      <c r="AQ11" s="9">
        <v>200000.0</v>
      </c>
      <c r="AR11" s="9">
        <v>220000.0</v>
      </c>
      <c r="AS11" s="9">
        <v>180000.0</v>
      </c>
      <c r="BD11" s="2"/>
      <c r="BE11" s="9"/>
      <c r="BF11" s="19"/>
      <c r="BG11" s="18" t="s">
        <v>27</v>
      </c>
      <c r="BH11" s="9">
        <v>200000.0</v>
      </c>
      <c r="BI11" s="9">
        <v>220000.0</v>
      </c>
      <c r="BJ11" s="9">
        <v>180000.0</v>
      </c>
      <c r="BU11" s="2"/>
      <c r="BV11" s="9"/>
      <c r="BW11" s="19"/>
      <c r="BX11" s="18" t="s">
        <v>27</v>
      </c>
      <c r="BY11" s="9">
        <v>200000.0</v>
      </c>
      <c r="BZ11" s="9">
        <v>220000.0</v>
      </c>
      <c r="CA11" s="9">
        <v>180000.0</v>
      </c>
      <c r="CL11" s="2"/>
      <c r="CM11" s="9"/>
      <c r="CN11" s="19"/>
      <c r="CO11" s="18" t="s">
        <v>27</v>
      </c>
      <c r="CP11" s="9">
        <v>200000.0</v>
      </c>
      <c r="CQ11" s="9">
        <v>220000.0</v>
      </c>
      <c r="CR11" s="9">
        <v>180000.0</v>
      </c>
      <c r="DC11" s="2"/>
      <c r="DD11" s="9"/>
      <c r="DE11" s="19"/>
      <c r="DF11" s="18" t="s">
        <v>27</v>
      </c>
      <c r="DG11" s="9">
        <v>200000.0</v>
      </c>
      <c r="DH11" s="9">
        <v>220000.0</v>
      </c>
      <c r="DI11" s="9">
        <v>180000.0</v>
      </c>
      <c r="DT11" s="2"/>
      <c r="DU11" s="9"/>
      <c r="DV11" s="19"/>
      <c r="DW11" s="18" t="s">
        <v>27</v>
      </c>
      <c r="DX11" s="2" t="s">
        <v>28</v>
      </c>
      <c r="DY11" s="2">
        <v>5.0</v>
      </c>
      <c r="DZ11" s="9">
        <v>200000.0</v>
      </c>
      <c r="EA11" s="9">
        <v>220000.0</v>
      </c>
      <c r="EB11" s="9">
        <v>180000.0</v>
      </c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19"/>
      <c r="EN11" s="18" t="s">
        <v>27</v>
      </c>
      <c r="EO11" s="2" t="s">
        <v>28</v>
      </c>
      <c r="EP11" s="2">
        <v>5.0</v>
      </c>
      <c r="EQ11" s="9">
        <v>200000.0</v>
      </c>
      <c r="ER11" s="9">
        <v>220000.0</v>
      </c>
      <c r="ES11" s="9">
        <v>180000.0</v>
      </c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19"/>
      <c r="FE11" s="18" t="s">
        <v>27</v>
      </c>
      <c r="FF11" s="2" t="s">
        <v>28</v>
      </c>
      <c r="FG11" s="2">
        <v>20.0</v>
      </c>
      <c r="FH11" s="9">
        <v>200000.0</v>
      </c>
      <c r="FI11" s="9">
        <v>220000.0</v>
      </c>
      <c r="FJ11" s="9">
        <v>180000.0</v>
      </c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19"/>
      <c r="FV11" s="9"/>
      <c r="FW11" s="9"/>
      <c r="FX11" s="9"/>
      <c r="FY11" s="9"/>
      <c r="FZ11" s="9"/>
      <c r="GA11" s="9"/>
    </row>
    <row r="12">
      <c r="A12" s="2" t="s">
        <v>29</v>
      </c>
      <c r="B12" s="9">
        <v>250000.0</v>
      </c>
      <c r="C12" s="9">
        <v>300000.0</v>
      </c>
      <c r="D12" s="9">
        <v>180000.0</v>
      </c>
      <c r="J12" s="2"/>
      <c r="K12" s="9"/>
      <c r="L12" s="9"/>
      <c r="M12" s="18" t="s">
        <v>29</v>
      </c>
      <c r="N12" s="9">
        <v>250000.0</v>
      </c>
      <c r="O12" s="9">
        <v>300000.0</v>
      </c>
      <c r="P12" s="9">
        <v>180000.0</v>
      </c>
      <c r="V12" s="2"/>
      <c r="W12" s="9"/>
      <c r="X12" s="9"/>
      <c r="Y12" s="18" t="s">
        <v>29</v>
      </c>
      <c r="Z12" s="9">
        <v>250000.0</v>
      </c>
      <c r="AA12" s="9">
        <v>300000.0</v>
      </c>
      <c r="AB12" s="9">
        <v>180000.0</v>
      </c>
      <c r="AM12" s="2"/>
      <c r="AN12" s="9"/>
      <c r="AO12" s="19"/>
      <c r="AP12" s="2" t="s">
        <v>29</v>
      </c>
      <c r="AQ12" s="9">
        <v>250000.0</v>
      </c>
      <c r="AR12" s="9">
        <v>300000.0</v>
      </c>
      <c r="AS12" s="9">
        <v>180000.0</v>
      </c>
      <c r="BD12" s="2"/>
      <c r="BE12" s="9"/>
      <c r="BF12" s="19"/>
      <c r="BG12" s="18" t="s">
        <v>29</v>
      </c>
      <c r="BH12" s="9">
        <v>250000.0</v>
      </c>
      <c r="BI12" s="9">
        <v>300000.0</v>
      </c>
      <c r="BJ12" s="9">
        <v>180000.0</v>
      </c>
      <c r="BU12" s="2"/>
      <c r="BV12" s="9"/>
      <c r="BW12" s="19"/>
      <c r="BX12" s="18" t="s">
        <v>29</v>
      </c>
      <c r="BY12" s="9">
        <v>250000.0</v>
      </c>
      <c r="BZ12" s="9">
        <v>300000.0</v>
      </c>
      <c r="CA12" s="9">
        <v>180000.0</v>
      </c>
      <c r="CL12" s="2"/>
      <c r="CM12" s="9"/>
      <c r="CN12" s="19"/>
      <c r="CO12" s="18" t="s">
        <v>29</v>
      </c>
      <c r="CP12" s="9">
        <v>250000.0</v>
      </c>
      <c r="CQ12" s="9">
        <v>300000.0</v>
      </c>
      <c r="CR12" s="9">
        <v>180000.0</v>
      </c>
      <c r="DC12" s="2"/>
      <c r="DD12" s="9"/>
      <c r="DE12" s="19"/>
      <c r="DF12" s="18" t="s">
        <v>29</v>
      </c>
      <c r="DG12" s="9">
        <v>250000.0</v>
      </c>
      <c r="DH12" s="9">
        <v>300000.0</v>
      </c>
      <c r="DI12" s="9">
        <v>180000.0</v>
      </c>
      <c r="DT12" s="2"/>
      <c r="DU12" s="9"/>
      <c r="DV12" s="19"/>
      <c r="DW12" s="18" t="s">
        <v>29</v>
      </c>
      <c r="DX12" s="2" t="s">
        <v>30</v>
      </c>
      <c r="DY12" s="2">
        <v>1.0</v>
      </c>
      <c r="DZ12" s="9">
        <v>250000.0</v>
      </c>
      <c r="EA12" s="9">
        <v>300000.0</v>
      </c>
      <c r="EB12" s="9">
        <v>180000.0</v>
      </c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19"/>
      <c r="EN12" s="18" t="s">
        <v>29</v>
      </c>
      <c r="EO12" s="2" t="s">
        <v>30</v>
      </c>
      <c r="EP12" s="2">
        <v>1.0</v>
      </c>
      <c r="EQ12" s="9">
        <v>250000.0</v>
      </c>
      <c r="ER12" s="9">
        <v>300000.0</v>
      </c>
      <c r="ES12" s="9">
        <v>180000.0</v>
      </c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19"/>
      <c r="FE12" s="18" t="s">
        <v>29</v>
      </c>
      <c r="FF12" s="2" t="s">
        <v>30</v>
      </c>
      <c r="FG12" s="2">
        <v>10.0</v>
      </c>
      <c r="FH12" s="9">
        <v>250000.0</v>
      </c>
      <c r="FI12" s="9">
        <v>300000.0</v>
      </c>
      <c r="FJ12" s="9">
        <v>180000.0</v>
      </c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19"/>
      <c r="FV12" s="9"/>
      <c r="FW12" s="9"/>
      <c r="FX12" s="9"/>
      <c r="FY12" s="9"/>
      <c r="FZ12" s="9"/>
      <c r="GA12" s="9"/>
    </row>
    <row r="13">
      <c r="A13" s="2" t="s">
        <v>31</v>
      </c>
      <c r="B13" s="9">
        <v>200000.0</v>
      </c>
      <c r="C13" s="9">
        <v>220000.0</v>
      </c>
      <c r="D13" s="9">
        <v>180000.0</v>
      </c>
      <c r="J13" s="1"/>
      <c r="K13" s="9"/>
      <c r="L13" s="9"/>
      <c r="M13" s="18" t="s">
        <v>31</v>
      </c>
      <c r="N13" s="9">
        <v>200000.0</v>
      </c>
      <c r="O13" s="9">
        <v>220000.0</v>
      </c>
      <c r="P13" s="9">
        <v>180000.0</v>
      </c>
      <c r="V13" s="1"/>
      <c r="W13" s="9"/>
      <c r="X13" s="9"/>
      <c r="Y13" s="18" t="s">
        <v>31</v>
      </c>
      <c r="Z13" s="9">
        <v>200000.0</v>
      </c>
      <c r="AA13" s="9">
        <v>220000.0</v>
      </c>
      <c r="AB13" s="9">
        <v>180000.0</v>
      </c>
      <c r="AM13" s="1"/>
      <c r="AN13" s="9"/>
      <c r="AO13" s="19"/>
      <c r="AP13" s="2" t="s">
        <v>31</v>
      </c>
      <c r="AQ13" s="9">
        <v>200000.0</v>
      </c>
      <c r="AR13" s="9">
        <v>220000.0</v>
      </c>
      <c r="AS13" s="9">
        <v>180000.0</v>
      </c>
      <c r="BD13" s="1"/>
      <c r="BE13" s="9"/>
      <c r="BF13" s="19"/>
      <c r="BG13" s="18" t="s">
        <v>31</v>
      </c>
      <c r="BH13" s="9">
        <v>200000.0</v>
      </c>
      <c r="BI13" s="9">
        <v>220000.0</v>
      </c>
      <c r="BJ13" s="9">
        <v>180000.0</v>
      </c>
      <c r="BU13" s="1"/>
      <c r="BV13" s="9"/>
      <c r="BW13" s="19"/>
      <c r="BX13" s="18" t="s">
        <v>31</v>
      </c>
      <c r="BY13" s="9">
        <v>200000.0</v>
      </c>
      <c r="BZ13" s="9">
        <v>220000.0</v>
      </c>
      <c r="CA13" s="9">
        <v>180000.0</v>
      </c>
      <c r="CL13" s="1"/>
      <c r="CM13" s="9"/>
      <c r="CN13" s="19"/>
      <c r="CO13" s="18" t="s">
        <v>31</v>
      </c>
      <c r="CP13" s="9">
        <v>200000.0</v>
      </c>
      <c r="CQ13" s="9">
        <v>220000.0</v>
      </c>
      <c r="CR13" s="9">
        <v>180000.0</v>
      </c>
      <c r="DC13" s="1"/>
      <c r="DD13" s="9"/>
      <c r="DE13" s="19"/>
      <c r="DF13" s="18" t="s">
        <v>31</v>
      </c>
      <c r="DG13" s="9">
        <v>200000.0</v>
      </c>
      <c r="DH13" s="9">
        <v>220000.0</v>
      </c>
      <c r="DI13" s="9">
        <v>180000.0</v>
      </c>
      <c r="DT13" s="1"/>
      <c r="DU13" s="9"/>
      <c r="DV13" s="19"/>
      <c r="DW13" s="18" t="s">
        <v>31</v>
      </c>
      <c r="DX13" s="2" t="s">
        <v>30</v>
      </c>
      <c r="DY13" s="2">
        <v>1.0</v>
      </c>
      <c r="DZ13" s="9">
        <v>200000.0</v>
      </c>
      <c r="EA13" s="9">
        <v>220000.0</v>
      </c>
      <c r="EB13" s="9">
        <v>180000.0</v>
      </c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19"/>
      <c r="EN13" s="18" t="s">
        <v>31</v>
      </c>
      <c r="EO13" s="2" t="s">
        <v>30</v>
      </c>
      <c r="EP13" s="2">
        <v>1.0</v>
      </c>
      <c r="EQ13" s="9">
        <v>200000.0</v>
      </c>
      <c r="ER13" s="9">
        <v>220000.0</v>
      </c>
      <c r="ES13" s="9">
        <v>180000.0</v>
      </c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19"/>
      <c r="FE13" s="18" t="s">
        <v>31</v>
      </c>
      <c r="FF13" s="2" t="s">
        <v>30</v>
      </c>
      <c r="FG13" s="2">
        <v>10.0</v>
      </c>
      <c r="FH13" s="9">
        <v>200000.0</v>
      </c>
      <c r="FI13" s="9">
        <v>220000.0</v>
      </c>
      <c r="FJ13" s="9">
        <v>180000.0</v>
      </c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19"/>
      <c r="FV13" s="9"/>
      <c r="FW13" s="9"/>
      <c r="FX13" s="9"/>
      <c r="FY13" s="9"/>
      <c r="FZ13" s="9"/>
      <c r="GA13" s="9"/>
    </row>
    <row r="14">
      <c r="B14" s="9"/>
      <c r="C14" s="9"/>
      <c r="D14" s="9"/>
      <c r="J14" s="2"/>
      <c r="K14" s="9"/>
      <c r="L14" s="9"/>
      <c r="M14" s="20"/>
      <c r="N14" s="9"/>
      <c r="O14" s="9"/>
      <c r="P14" s="9"/>
      <c r="V14" s="2"/>
      <c r="W14" s="9"/>
      <c r="X14" s="9"/>
      <c r="Y14" s="3" t="s">
        <v>32</v>
      </c>
      <c r="Z14" s="9"/>
      <c r="AA14" s="9"/>
      <c r="AB14" s="9"/>
      <c r="AM14" s="2"/>
      <c r="AN14" s="9"/>
      <c r="AO14" s="19"/>
      <c r="AP14" s="1" t="s">
        <v>32</v>
      </c>
      <c r="AQ14" s="9"/>
      <c r="AR14" s="9"/>
      <c r="AS14" s="9"/>
      <c r="BD14" s="2"/>
      <c r="BE14" s="9"/>
      <c r="BF14" s="19"/>
      <c r="BG14" s="3" t="s">
        <v>33</v>
      </c>
      <c r="BH14" s="9"/>
      <c r="BI14" s="9"/>
      <c r="BJ14" s="9"/>
      <c r="BU14" s="2"/>
      <c r="BV14" s="9"/>
      <c r="BW14" s="19"/>
      <c r="BX14" s="3" t="s">
        <v>33</v>
      </c>
      <c r="BY14" s="9"/>
      <c r="BZ14" s="9"/>
      <c r="CA14" s="9"/>
      <c r="CL14" s="2"/>
      <c r="CM14" s="9"/>
      <c r="CN14" s="19"/>
      <c r="CO14" s="3" t="s">
        <v>34</v>
      </c>
      <c r="CP14" s="9"/>
      <c r="CQ14" s="21" t="s">
        <v>35</v>
      </c>
      <c r="CR14" s="9"/>
      <c r="CT14" s="21" t="s">
        <v>36</v>
      </c>
      <c r="DC14" s="2"/>
      <c r="DD14" s="9"/>
      <c r="DE14" s="19"/>
      <c r="DF14" s="3" t="s">
        <v>34</v>
      </c>
      <c r="DG14" s="9"/>
      <c r="DH14" s="21" t="s">
        <v>35</v>
      </c>
      <c r="DI14" s="9"/>
      <c r="DK14" s="21" t="s">
        <v>36</v>
      </c>
      <c r="DT14" s="2"/>
      <c r="DU14" s="9"/>
      <c r="DV14" s="19"/>
      <c r="DW14" s="1" t="s">
        <v>37</v>
      </c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19"/>
      <c r="EN14" s="1" t="s">
        <v>37</v>
      </c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19"/>
      <c r="FE14" s="1" t="s">
        <v>37</v>
      </c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19"/>
      <c r="FV14" s="9"/>
      <c r="FW14" s="9"/>
      <c r="FX14" s="9"/>
      <c r="FY14" s="9"/>
      <c r="FZ14" s="9"/>
      <c r="GA14" s="9"/>
    </row>
    <row r="15">
      <c r="A15" s="1"/>
      <c r="J15" s="1"/>
      <c r="M15" s="3"/>
      <c r="V15" s="1"/>
      <c r="Y15" s="22">
        <v>2000000.0</v>
      </c>
      <c r="AM15" s="1"/>
      <c r="AO15" s="4"/>
      <c r="AP15" s="9">
        <v>1500000.0</v>
      </c>
      <c r="BD15" s="1"/>
      <c r="BF15" s="4"/>
      <c r="BG15" s="22">
        <v>4500000.0</v>
      </c>
      <c r="BU15" s="1"/>
      <c r="BW15" s="4"/>
      <c r="BX15" s="22">
        <v>150000.0</v>
      </c>
      <c r="CL15" s="1"/>
      <c r="CN15" s="4"/>
      <c r="CO15" s="18">
        <v>2.0</v>
      </c>
      <c r="CP15" s="9"/>
      <c r="CQ15" s="9">
        <v>2.0</v>
      </c>
      <c r="CR15" s="9"/>
      <c r="CT15" s="2">
        <v>1.0</v>
      </c>
      <c r="DC15" s="1"/>
      <c r="DE15" s="4"/>
      <c r="DF15" s="18">
        <v>2.0</v>
      </c>
      <c r="DG15" s="9"/>
      <c r="DH15" s="9">
        <v>2.0</v>
      </c>
      <c r="DI15" s="9"/>
      <c r="DK15" s="2">
        <v>0.0</v>
      </c>
      <c r="DT15" s="1"/>
      <c r="DV15" s="4"/>
      <c r="DW15" s="2">
        <v>2.0</v>
      </c>
      <c r="EM15" s="4"/>
      <c r="EN15" s="2">
        <v>2.0</v>
      </c>
      <c r="FD15" s="4"/>
      <c r="FE15" s="2">
        <v>2.0</v>
      </c>
      <c r="FU15" s="4"/>
    </row>
    <row r="16">
      <c r="A16" s="23" t="s">
        <v>38</v>
      </c>
      <c r="B16" s="23" t="s">
        <v>39</v>
      </c>
      <c r="C16" s="23" t="s">
        <v>40</v>
      </c>
      <c r="D16" s="23" t="s">
        <v>41</v>
      </c>
      <c r="E16" s="23" t="s">
        <v>42</v>
      </c>
      <c r="F16" s="23" t="s">
        <v>43</v>
      </c>
      <c r="G16" s="23" t="s">
        <v>44</v>
      </c>
      <c r="H16" s="23" t="s">
        <v>45</v>
      </c>
      <c r="I16" s="23" t="s">
        <v>46</v>
      </c>
      <c r="J16" s="23" t="s">
        <v>47</v>
      </c>
      <c r="M16" s="20" t="s">
        <v>38</v>
      </c>
      <c r="N16" s="23" t="s">
        <v>39</v>
      </c>
      <c r="O16" s="23" t="s">
        <v>40</v>
      </c>
      <c r="P16" s="23" t="s">
        <v>41</v>
      </c>
      <c r="Q16" s="23" t="s">
        <v>42</v>
      </c>
      <c r="R16" s="23" t="s">
        <v>43</v>
      </c>
      <c r="S16" s="23" t="s">
        <v>44</v>
      </c>
      <c r="T16" s="23" t="s">
        <v>45</v>
      </c>
      <c r="U16" s="23" t="s">
        <v>46</v>
      </c>
      <c r="V16" s="23" t="s">
        <v>47</v>
      </c>
      <c r="Y16" s="20" t="s">
        <v>38</v>
      </c>
      <c r="Z16" s="23" t="s">
        <v>39</v>
      </c>
      <c r="AA16" s="23" t="s">
        <v>40</v>
      </c>
      <c r="AB16" s="23" t="s">
        <v>41</v>
      </c>
      <c r="AC16" s="2" t="s">
        <v>48</v>
      </c>
      <c r="AD16" s="2" t="s">
        <v>42</v>
      </c>
      <c r="AE16" s="2" t="s">
        <v>49</v>
      </c>
      <c r="AF16" s="2" t="s">
        <v>43</v>
      </c>
      <c r="AG16" s="2" t="s">
        <v>50</v>
      </c>
      <c r="AH16" s="2" t="s">
        <v>44</v>
      </c>
      <c r="AI16" s="2" t="s">
        <v>51</v>
      </c>
      <c r="AJ16" s="2" t="s">
        <v>45</v>
      </c>
      <c r="AK16" s="2" t="s">
        <v>52</v>
      </c>
      <c r="AL16" s="2" t="s">
        <v>46</v>
      </c>
      <c r="AM16" s="23" t="s">
        <v>47</v>
      </c>
      <c r="AO16" s="4"/>
      <c r="AP16" s="23" t="s">
        <v>38</v>
      </c>
      <c r="AQ16" s="23" t="s">
        <v>39</v>
      </c>
      <c r="AR16" s="23" t="s">
        <v>40</v>
      </c>
      <c r="AS16" s="23" t="s">
        <v>41</v>
      </c>
      <c r="AT16" s="2" t="s">
        <v>48</v>
      </c>
      <c r="AU16" s="2" t="s">
        <v>42</v>
      </c>
      <c r="AV16" s="2" t="s">
        <v>49</v>
      </c>
      <c r="AW16" s="2" t="s">
        <v>43</v>
      </c>
      <c r="AX16" s="2" t="s">
        <v>50</v>
      </c>
      <c r="AY16" s="2" t="s">
        <v>44</v>
      </c>
      <c r="AZ16" s="2" t="s">
        <v>51</v>
      </c>
      <c r="BA16" s="2" t="s">
        <v>45</v>
      </c>
      <c r="BB16" s="2" t="s">
        <v>52</v>
      </c>
      <c r="BC16" s="2" t="s">
        <v>46</v>
      </c>
      <c r="BD16" s="23" t="s">
        <v>47</v>
      </c>
      <c r="BF16" s="4"/>
      <c r="BG16" s="20" t="s">
        <v>38</v>
      </c>
      <c r="BH16" s="23" t="s">
        <v>39</v>
      </c>
      <c r="BI16" s="23" t="s">
        <v>40</v>
      </c>
      <c r="BJ16" s="23" t="s">
        <v>41</v>
      </c>
      <c r="BK16" s="2" t="s">
        <v>48</v>
      </c>
      <c r="BL16" s="2" t="s">
        <v>42</v>
      </c>
      <c r="BM16" s="2" t="s">
        <v>49</v>
      </c>
      <c r="BN16" s="2" t="s">
        <v>43</v>
      </c>
      <c r="BO16" s="2" t="s">
        <v>50</v>
      </c>
      <c r="BP16" s="2" t="s">
        <v>44</v>
      </c>
      <c r="BQ16" s="2" t="s">
        <v>51</v>
      </c>
      <c r="BR16" s="2" t="s">
        <v>45</v>
      </c>
      <c r="BS16" s="2" t="s">
        <v>52</v>
      </c>
      <c r="BT16" s="2" t="s">
        <v>46</v>
      </c>
      <c r="BU16" s="23" t="s">
        <v>47</v>
      </c>
      <c r="BW16" s="4"/>
      <c r="BX16" s="20" t="s">
        <v>38</v>
      </c>
      <c r="BY16" s="23" t="s">
        <v>39</v>
      </c>
      <c r="BZ16" s="23" t="s">
        <v>40</v>
      </c>
      <c r="CA16" s="23" t="s">
        <v>41</v>
      </c>
      <c r="CB16" s="2" t="s">
        <v>48</v>
      </c>
      <c r="CC16" s="2" t="s">
        <v>42</v>
      </c>
      <c r="CD16" s="2" t="s">
        <v>49</v>
      </c>
      <c r="CE16" s="2" t="s">
        <v>43</v>
      </c>
      <c r="CF16" s="2" t="s">
        <v>50</v>
      </c>
      <c r="CG16" s="2" t="s">
        <v>44</v>
      </c>
      <c r="CH16" s="2" t="s">
        <v>51</v>
      </c>
      <c r="CI16" s="2" t="s">
        <v>45</v>
      </c>
      <c r="CJ16" s="2" t="s">
        <v>52</v>
      </c>
      <c r="CK16" s="2" t="s">
        <v>46</v>
      </c>
      <c r="CL16" s="23" t="s">
        <v>47</v>
      </c>
      <c r="CN16" s="4"/>
      <c r="CO16" s="20" t="s">
        <v>38</v>
      </c>
      <c r="CP16" s="23" t="s">
        <v>39</v>
      </c>
      <c r="CQ16" s="23" t="s">
        <v>40</v>
      </c>
      <c r="CR16" s="23" t="s">
        <v>41</v>
      </c>
      <c r="CS16" s="2" t="s">
        <v>48</v>
      </c>
      <c r="CT16" s="2" t="s">
        <v>42</v>
      </c>
      <c r="CU16" s="2" t="s">
        <v>49</v>
      </c>
      <c r="CV16" s="2" t="s">
        <v>43</v>
      </c>
      <c r="CW16" s="2" t="s">
        <v>50</v>
      </c>
      <c r="CX16" s="2" t="s">
        <v>44</v>
      </c>
      <c r="CY16" s="2" t="s">
        <v>51</v>
      </c>
      <c r="CZ16" s="2" t="s">
        <v>45</v>
      </c>
      <c r="DA16" s="2" t="s">
        <v>52</v>
      </c>
      <c r="DB16" s="2" t="s">
        <v>46</v>
      </c>
      <c r="DC16" s="23" t="s">
        <v>47</v>
      </c>
      <c r="DE16" s="4"/>
      <c r="DF16" s="20" t="s">
        <v>38</v>
      </c>
      <c r="DG16" s="23" t="s">
        <v>39</v>
      </c>
      <c r="DH16" s="23" t="s">
        <v>40</v>
      </c>
      <c r="DI16" s="23" t="s">
        <v>41</v>
      </c>
      <c r="DJ16" s="2" t="s">
        <v>48</v>
      </c>
      <c r="DK16" s="2" t="s">
        <v>42</v>
      </c>
      <c r="DL16" s="2" t="s">
        <v>49</v>
      </c>
      <c r="DM16" s="2" t="s">
        <v>43</v>
      </c>
      <c r="DN16" s="2" t="s">
        <v>50</v>
      </c>
      <c r="DO16" s="2" t="s">
        <v>44</v>
      </c>
      <c r="DP16" s="2" t="s">
        <v>51</v>
      </c>
      <c r="DQ16" s="2" t="s">
        <v>45</v>
      </c>
      <c r="DR16" s="2" t="s">
        <v>52</v>
      </c>
      <c r="DS16" s="2" t="s">
        <v>46</v>
      </c>
      <c r="DT16" s="23" t="s">
        <v>47</v>
      </c>
      <c r="DV16" s="4"/>
      <c r="DW16" s="1" t="s">
        <v>53</v>
      </c>
      <c r="EM16" s="4"/>
      <c r="EN16" s="1" t="s">
        <v>53</v>
      </c>
      <c r="FD16" s="4"/>
      <c r="FE16" s="1" t="s">
        <v>53</v>
      </c>
      <c r="FU16" s="4"/>
    </row>
    <row r="17">
      <c r="A17" s="23" t="s">
        <v>27</v>
      </c>
      <c r="B17" s="2">
        <v>30.0</v>
      </c>
      <c r="C17" s="9">
        <f>B11</f>
        <v>200000</v>
      </c>
      <c r="D17" s="9">
        <f t="shared" ref="D17:D19" si="1">B17*C17</f>
        <v>6000000</v>
      </c>
      <c r="E17" s="24">
        <f t="shared" ref="E17:E19" si="2">IF(SUM($D$17:$D$19)&gt;=$B$3, B17*$E$3, "0")</f>
        <v>60000</v>
      </c>
      <c r="F17" s="24">
        <f t="shared" ref="F17:F19" si="3">IF(SUM($D$17:$D$19)&gt;=$B$4, B17*$E$4, "0")</f>
        <v>105000</v>
      </c>
      <c r="G17" s="24">
        <f t="shared" ref="G17:G19" si="4">IF(SUM($D$17:$D$19)&gt;=$B$5, B17*$E$5, "0")</f>
        <v>150000</v>
      </c>
      <c r="H17" s="24">
        <f t="shared" ref="H17:H19" si="5">IF(SUM($D$17:$D$19)&gt;=$B$6, B17*$E$6, "0")</f>
        <v>195000</v>
      </c>
      <c r="I17" s="24">
        <f t="shared" ref="I17:I19" si="6">IF(SUM($D$17:$D$19)&gt;=$B$7, B17*$E$7, "0")</f>
        <v>240000</v>
      </c>
      <c r="J17" s="25">
        <f t="shared" ref="J17:J19" si="7">D17-E17-F17-G17-H17-I17</f>
        <v>5250000</v>
      </c>
      <c r="L17" s="9"/>
      <c r="M17" s="20" t="s">
        <v>27</v>
      </c>
      <c r="N17" s="2">
        <v>3.0</v>
      </c>
      <c r="O17" s="9">
        <f>N11</f>
        <v>200000</v>
      </c>
      <c r="P17" s="9">
        <f t="shared" ref="P17:P19" si="8">N17*O17</f>
        <v>600000</v>
      </c>
      <c r="Q17" s="24" t="str">
        <f t="shared" ref="Q17:Q19" si="9">IF(SUM($P$17:$P$19)&gt;=$N$3, N17*$Q$3, "0")</f>
        <v>0</v>
      </c>
      <c r="R17" s="24" t="str">
        <f t="shared" ref="R17:R19" si="10">IF(SUM($P$17:$P$19)&gt;=$N$4, N17*$Q$4, "0")</f>
        <v>0</v>
      </c>
      <c r="S17" s="24" t="str">
        <f t="shared" ref="S17:S19" si="11">IF(SUM($P$17:$P$19)&gt;=$N$5, N17*$Q$5, "0")</f>
        <v>0</v>
      </c>
      <c r="T17" s="24" t="str">
        <f t="shared" ref="T17:T19" si="12">IF(SUM($P$17:$P$19)&gt;=$N$6, N17*$Q$6, "0")</f>
        <v>0</v>
      </c>
      <c r="U17" s="24" t="str">
        <f t="shared" ref="U17:U19" si="13">IF(SUM($P$17:$P$19)&gt;=$N$7, N17*$Q$7, "0")</f>
        <v>0</v>
      </c>
      <c r="V17" s="25">
        <f t="shared" ref="V17:V19" si="14">P17-Q17-R17-S17-T17-U17</f>
        <v>600000</v>
      </c>
      <c r="X17" s="9"/>
      <c r="Y17" s="20" t="s">
        <v>27</v>
      </c>
      <c r="Z17" s="2">
        <v>30.0</v>
      </c>
      <c r="AA17" s="9">
        <f>Z11</f>
        <v>200000</v>
      </c>
      <c r="AB17" s="9">
        <f t="shared" ref="AB17:AB19" si="15">Z17*AA17</f>
        <v>6000000</v>
      </c>
      <c r="AC17" s="24">
        <f t="shared" ref="AC17:AC19" si="16">IF(SUM($AB$17:$AB$19)&gt;=$Z$3, Z17*$AC$3, "0")</f>
        <v>60000</v>
      </c>
      <c r="AD17" s="24">
        <f t="shared" ref="AD17:AD19" si="17">IF(SUM($AC$17:$AC$19,$AE$17:$AE$19,$AG$17:$AG$19,$AI$17:$AI$19,$AK$17:$AK$19)&gt;=$Y$15,0,AC17)</f>
        <v>60000</v>
      </c>
      <c r="AE17" s="24">
        <f t="shared" ref="AE17:AE19" si="18">IF(SUM($AB$17:$AB$19)&gt;=$Z$4, Z17*$AC$4, "0")</f>
        <v>105000</v>
      </c>
      <c r="AF17" s="24">
        <f t="shared" ref="AF17:AF19" si="19">IF(SUM($AC$17:$AC$19,$AE$17:$AE$19,$AG$17:$AG$19,$AI$17:$AI$19,$AK$17:$AK$19)&gt;=$Y$15,0,AE17)</f>
        <v>105000</v>
      </c>
      <c r="AG17" s="24">
        <f t="shared" ref="AG17:AG19" si="20">IF(SUM($AB$17:$AB$19)&gt;=$Z$5, Z17*$AC$5, "0")</f>
        <v>150000</v>
      </c>
      <c r="AH17" s="24">
        <f t="shared" ref="AH17:AH19" si="21">IF(SUM($AC$17:$AC$19,$AE$17:$AE$19,$AG$17:$AG$19,$AI$17:$AI$19,$AK$17:$AK$19)&gt;=$Y$15,0,AG17)</f>
        <v>150000</v>
      </c>
      <c r="AI17" s="24" t="str">
        <f t="shared" ref="AI17:AI19" si="22">IF(SUM($AB$17:$AB$19)&gt;=$Z$6, Z17*$AC$6, "0")</f>
        <v>0</v>
      </c>
      <c r="AJ17" s="24" t="str">
        <f t="shared" ref="AJ17:AJ19" si="23">IF(SUM($AC$17:$AC$19,$AE$17:$AE$19,$AG$17:$AG$19,$AI$17:$AI$19,$AK$17:$AK$19)&gt;=$Y$15,0,AI17)</f>
        <v>0</v>
      </c>
      <c r="AK17" s="24" t="str">
        <f t="shared" ref="AK17:AK19" si="24">IF(SUM($AB$17:$AB$19)&gt;=$Z$7, Z17*$AC$7, "0")</f>
        <v>0</v>
      </c>
      <c r="AL17" s="24" t="str">
        <f t="shared" ref="AL17:AL19" si="25">IF(SUM($AC$17:$AC$19,$AE$17:$AE$19,$AG$17:$AG$19,$AI$17:$AI$19,$AK$17:$AK$19)&gt;=$Y$15,0,AK17)</f>
        <v>0</v>
      </c>
      <c r="AM17" s="25">
        <f t="shared" ref="AM17:AM19" si="26">AB17-AD17-AF17-AH17-AJ17-AL17</f>
        <v>5685000</v>
      </c>
      <c r="AO17" s="19"/>
      <c r="AP17" s="23" t="s">
        <v>27</v>
      </c>
      <c r="AQ17" s="2">
        <v>30.0</v>
      </c>
      <c r="AR17" s="9">
        <f>AQ11</f>
        <v>200000</v>
      </c>
      <c r="AS17" s="9">
        <f t="shared" ref="AS17:AS19" si="27">AQ17*AR17</f>
        <v>6000000</v>
      </c>
      <c r="AT17" s="24">
        <f t="shared" ref="AT17:AT19" si="28">IF(SUM($AS$17:$AS$19)&gt;=$AQ$3, AQ17*$AT$3, "0")</f>
        <v>60000</v>
      </c>
      <c r="AU17" s="24">
        <f t="shared" ref="AU17:AU19" si="29">IF(SUM($AT$17:$AT$19,$AV$17:$AV$19,$AX$17:$AX$19,$AZ$17:$AZ$19,$BB$17:$BB$19)&gt;=$AP$15,0,AT17)</f>
        <v>0</v>
      </c>
      <c r="AV17" s="24">
        <f t="shared" ref="AV17:AV19" si="30">IF(SUM($AS$17:$AS$19)&gt;=$AQ$4, AQ17*$AT$4, "0")</f>
        <v>105000</v>
      </c>
      <c r="AW17" s="24">
        <f t="shared" ref="AW17:AW19" si="31">IF(SUM($AT$17:$AT$19,$AV$17:$AV$19,$AX$17:$AX$19,$AZ$17:$AZ$19,$BB$17:$BB$19)&gt;=$AP$15,0,AV17)</f>
        <v>0</v>
      </c>
      <c r="AX17" s="24">
        <f t="shared" ref="AX17:AX19" si="32">IF(SUM($AS$17:$AS$19)&gt;=$AQ$5, AQ17*$AT$5, "0")</f>
        <v>150000</v>
      </c>
      <c r="AY17" s="24">
        <f t="shared" ref="AY17:AY19" si="33">IF(SUM($AT$17:$AT$19,$AV$17:$AV$19,$AX$17:$AX$19,$AZ$17:$AZ$19,$BB$17:$BB$19)&gt;=$AP$15,0,AX17)</f>
        <v>0</v>
      </c>
      <c r="AZ17" s="24">
        <f t="shared" ref="AZ17:AZ19" si="34">IF(SUM($AS$17:$AS$19)&gt;=$AQ$6, AQ17*$AT$6, "0")</f>
        <v>195000</v>
      </c>
      <c r="BA17" s="24">
        <f t="shared" ref="BA17:BA19" si="35">IF(SUM($AT$17:$AT$19,$AV$17:$AV$19,$AX$17:$AX$19,$AZ$17:$AZ$19,$BB$17:$BB$19)&gt;=$AP$15,0,AZ17)</f>
        <v>0</v>
      </c>
      <c r="BB17" s="24">
        <f t="shared" ref="BB17:BB19" si="36">IF(SUM($AS$17:$AS$19)&gt;=$AQ$7, AQ17*$AT$7, "0")</f>
        <v>240000</v>
      </c>
      <c r="BC17" s="24">
        <f t="shared" ref="BC17:BC19" si="37">IF(SUM($AT$17:$AT$19,$AV$17:$AV$19,$AX$17:$AX$19,$AZ$17:$AZ$19,$BB$17:$BB$19)&gt;=$AP$15,0,BB17)</f>
        <v>0</v>
      </c>
      <c r="BD17" s="25">
        <f t="shared" ref="BD17:BD19" si="38">AS17-AU17-AW17-AY17-BA17-BC17</f>
        <v>6000000</v>
      </c>
      <c r="BF17" s="19"/>
      <c r="BG17" s="20" t="s">
        <v>27</v>
      </c>
      <c r="BH17" s="2">
        <v>30.0</v>
      </c>
      <c r="BI17" s="9">
        <f>BH11</f>
        <v>200000</v>
      </c>
      <c r="BJ17" s="9">
        <f t="shared" ref="BJ17:BJ19" si="39">BH17*BI17</f>
        <v>6000000</v>
      </c>
      <c r="BK17" s="24">
        <f t="shared" ref="BK17:BK19" si="40">IF(SUM($BJ$17:$BJ$19)&gt;=BH$3, BH17*$BK$3, "0")</f>
        <v>60000</v>
      </c>
      <c r="BL17" s="24">
        <f t="shared" ref="BL17:BL19" si="41">IF(SUM($BK$17:$BK$19,$BM$17:$BM$19,$BO$17:$BO$19,$BQ$17:$BQ$19,$BS$17:$BS$19)&gt;=$BG$15,0,BK17)</f>
        <v>60000</v>
      </c>
      <c r="BM17" s="24">
        <f t="shared" ref="BM17:BM19" si="42">IF(SUM($BJ$17:$BJ$19)&gt;=$BH$4, BH17*$BK$4, "0")</f>
        <v>105000</v>
      </c>
      <c r="BN17" s="24">
        <f t="shared" ref="BN17:BN19" si="43">IF(SUM($BK$17:$BK$19,$BM$17:$BM$19,$BO$17:$BO$19,$BQ$17:$BQ$19,$BS$17:$BS$19)&gt;=$BG$15,0,BM17)</f>
        <v>105000</v>
      </c>
      <c r="BO17" s="24">
        <f t="shared" ref="BO17:BO19" si="44">IF(SUM($BJ$17:$BJ$19)&gt;=$BH$5, BH17*$BK$5, "0")</f>
        <v>150000</v>
      </c>
      <c r="BP17" s="24">
        <f t="shared" ref="BP17:BP19" si="45">IF(SUM($BK$17:$BK$19,$BM$17:$BM$19,$BO$17:$BO$19,$BQ$17:$BQ$19,$BS$17:$BS$19)&gt;=$BG$15,0,BO17)</f>
        <v>150000</v>
      </c>
      <c r="BQ17" s="24">
        <f t="shared" ref="BQ17:BQ19" si="46">IF(SUM($BJ$17:$BJ$19)&gt;=$BH$6, BH17*$BK$6, "0")</f>
        <v>195000</v>
      </c>
      <c r="BR17" s="24">
        <f t="shared" ref="BR17:BR19" si="47">IF(SUM($BK$17:$BK$19,$BM$17:$BM$19,$BO$17:$BO$19,$BQ$17:$BQ$19,$BS$17:$BS$19)&gt;=$BG$15,0,BQ17)</f>
        <v>195000</v>
      </c>
      <c r="BS17" s="24">
        <f t="shared" ref="BS17:BS19" si="48">IF(SUM($BJ$17:$BJ$19)&gt;=$BH$7, BH17*$BK$7, "0")</f>
        <v>240000</v>
      </c>
      <c r="BT17" s="24">
        <f t="shared" ref="BT17:BT19" si="49">IF(SUM($BK$17:$BK$19,$BM$17:$BM$19,$BO$17:$BO$19,$BQ$17:$BQ$19,$BS$17:$BS$19)&gt;=$BG$15,0,BS17)</f>
        <v>240000</v>
      </c>
      <c r="BU17" s="25">
        <f t="shared" ref="BU17:BU19" si="50">BJ17-BL17-BN17-BP17-BR17-BT17</f>
        <v>5250000</v>
      </c>
      <c r="BW17" s="19"/>
      <c r="BX17" s="20" t="s">
        <v>27</v>
      </c>
      <c r="BY17" s="2">
        <v>10.0</v>
      </c>
      <c r="BZ17" s="9">
        <f>BY11</f>
        <v>200000</v>
      </c>
      <c r="CA17" s="9">
        <f t="shared" ref="CA17:CA19" si="51">BY17*BZ17</f>
        <v>2000000</v>
      </c>
      <c r="CB17" s="24">
        <f t="shared" ref="CB17:CB19" si="52">IF(SUM($CA$17:$CA$19)&gt;=BY$3, BY17*$CB$3, "0")</f>
        <v>20000</v>
      </c>
      <c r="CC17" s="24">
        <f t="shared" ref="CC17:CC19" si="53">IF(SUM($CB$17:$CB$19,$CD$17:$CD$19,$CF$17:$CF$19,$CH$17:$CH$19,$CJ$17:$CJ$19)&gt;=$BX$15,0,CB17)</f>
        <v>0</v>
      </c>
      <c r="CD17" s="24">
        <f t="shared" ref="CD17:CD19" si="54">IF(SUM($CA$17:$CA$19)&gt;=BY$4, BY17*$CB$4, "0")</f>
        <v>35000</v>
      </c>
      <c r="CE17" s="24">
        <f t="shared" ref="CE17:CE19" si="55">IF(SUM($CB$17:$CB$19,$CD$17:$CD$19,$CF$17:$CF$19,$CH$17:$CH$19,$CJ$17:$CJ$19)&gt;=$BX$15,0,CD17)</f>
        <v>0</v>
      </c>
      <c r="CF17" s="24" t="str">
        <f t="shared" ref="CF17:CF19" si="56">IF(SUM($CA$17:$CA$19)&gt;=$BY$5, $BY17*$CB$5, "0")</f>
        <v>0</v>
      </c>
      <c r="CG17" s="24">
        <f t="shared" ref="CG17:CG19" si="57">IF(SUM($CB$17:$CB$19,$CD$17:$CD$19,$CF$17:$CF$19,$CH$17:$CH$19,$CJ$17:$CJ$19)&gt;=$BX$15,0,CF17)</f>
        <v>0</v>
      </c>
      <c r="CH17" s="24" t="str">
        <f t="shared" ref="CH17:CH19" si="58">IF(SUM($CA$17:$CA$19)&gt;=$BY$6, $BY17*$CB$6, "0")</f>
        <v>0</v>
      </c>
      <c r="CI17" s="24">
        <f t="shared" ref="CI17:CI19" si="59">IF(SUM($CB$17:$CB$19,$CD$17:$CD$19,$CF$17:$CF$19,$CH$17:$CH$19,$CJ$17:$CJ$19)&gt;=$BX$15,0,CH17)</f>
        <v>0</v>
      </c>
      <c r="CJ17" s="24" t="str">
        <f t="shared" ref="CJ17:CJ19" si="60">IF(SUM($CA$17:$CA$19)&gt;=$BY$7, $BY17*$CB$7, "0")</f>
        <v>0</v>
      </c>
      <c r="CK17" s="24">
        <f t="shared" ref="CK17:CK19" si="61">IF(SUM($CB$17:$CB$19,$CD$17:$CD$19,$CF$17:$CF$19,$CH$17:$CH$19,$CJ$17:$CJ$19)&gt;=$BX$15,0,CJ17)</f>
        <v>0</v>
      </c>
      <c r="CL17" s="25">
        <f t="shared" ref="CL17:CL19" si="62">CA17-CC17-CE17-CG17-CI17-CK17</f>
        <v>2000000</v>
      </c>
      <c r="CN17" s="19"/>
      <c r="CO17" s="20" t="s">
        <v>27</v>
      </c>
      <c r="CP17" s="2">
        <v>30.0</v>
      </c>
      <c r="CQ17" s="9">
        <f>CP11</f>
        <v>200000</v>
      </c>
      <c r="CR17" s="9">
        <f t="shared" ref="CR17:CR19" si="63">CP17*CQ17</f>
        <v>6000000</v>
      </c>
      <c r="CS17" s="24">
        <f t="shared" ref="CS17:CS19" si="64">IF(SUM($CR$17:$CR$19)&gt;=CP$3, CP17*$CS$3, "0")</f>
        <v>60000</v>
      </c>
      <c r="CT17" s="24">
        <f t="shared" ref="CT17:CT19" si="65">(IF($CQ$15-$CT$15&gt;=$CO$15,"0", IF(SUM($CS$17:$CS$19,$CU$17:$CU$19,$CW$17:$CW$19,$CY$17:$CY$19,$DA$17:$DA$19)&gt;=$BG$15,0,CS17)))</f>
        <v>60000</v>
      </c>
      <c r="CU17" s="24">
        <f t="shared" ref="CU17:CU19" si="66">IF(SUM($CR$17:$CR$19)&gt;=$CP$4, $CP17*$CS$4, "0")</f>
        <v>105000</v>
      </c>
      <c r="CV17" s="24">
        <f t="shared" ref="CV17:CV19" si="67">(IF($CQ$15-$CT$15&gt;=$CO$15,"0", IF(SUM($CS$17:$CS$19,$CU$17:$CU$19,$CW$17:$CW$19,$CY$17:$CY$19,$DA$17:$DA$19)&gt;=$BG$15,0,CU17)))</f>
        <v>105000</v>
      </c>
      <c r="CW17" s="24">
        <f t="shared" ref="CW17:CW19" si="68">IF(SUM($CR$17:$CR$19)&gt;=$CP$5, $CP17*$CS$5, "0")</f>
        <v>150000</v>
      </c>
      <c r="CX17" s="24">
        <f t="shared" ref="CX17:CX19" si="69">(IF($CQ$15-$CT$15&gt;=$CO$15,"0", IF(SUM($CS$17:$CS$19,$CU$17:$CU$19,$CW$17:$CW$19,$CY$17:$CY$19,$DA$17:$DA$19)&gt;=$BG$15,0,CW17)))</f>
        <v>150000</v>
      </c>
      <c r="CY17" s="24">
        <f t="shared" ref="CY17:CY19" si="70">IF(SUM($CR$17:$CR$19)&gt;=$CP$6, $CP17*$CS$6, "0")</f>
        <v>195000</v>
      </c>
      <c r="CZ17" s="24">
        <f t="shared" ref="CZ17:CZ19" si="71">(IF($CQ$15-$CT$15&gt;=$CO$15,"0", IF(SUM($CS$17:$CS$19,$CU$17:$CU$19,$CW$17:$CW$19,$CY$17:$CY$19,$DA$17:$DA$19)&gt;=$BG$15,0,CY17)))</f>
        <v>195000</v>
      </c>
      <c r="DA17" s="24">
        <f t="shared" ref="DA17:DA19" si="72">IF(SUM($CR$17:$CR$19)&gt;=$CP$7, $CP17*$CS$7, "0")</f>
        <v>240000</v>
      </c>
      <c r="DB17" s="24">
        <f t="shared" ref="DB17:DB19" si="73">(IF($CQ$15-$CT$15&gt;=$CO$15,"0", IF(SUM($CS$17:$CS$19,$CU$17:$CU$19,$CW$17:$CW$19,$CY$17:$CY$19,$DA$17:$DA$19)&gt;=$BG$15,0,DA17)))</f>
        <v>240000</v>
      </c>
      <c r="DC17" s="25">
        <f t="shared" ref="DC17:DC19" si="74">CR17-CT17-CV17-CX17-CZ17-DB17</f>
        <v>5250000</v>
      </c>
      <c r="DE17" s="19"/>
      <c r="DF17" s="20" t="s">
        <v>27</v>
      </c>
      <c r="DG17" s="2">
        <v>30.0</v>
      </c>
      <c r="DH17" s="9">
        <f>DG11</f>
        <v>200000</v>
      </c>
      <c r="DI17" s="9">
        <f t="shared" ref="DI17:DI19" si="75">DG17*DH17</f>
        <v>6000000</v>
      </c>
      <c r="DJ17" s="24">
        <f t="shared" ref="DJ17:DJ19" si="76">IF(SUM($DI$17:$DI$19)&gt;=DG$3, DG17*$DJ$3, "0")</f>
        <v>60000</v>
      </c>
      <c r="DK17" s="24" t="str">
        <f t="shared" ref="DK17:DK19" si="77">(IF($DF$15-$DH$15&gt;=$DK$15,"0", IF(SUM($DJ$17:$DJ$19,$DL$17:$DL$19,$DN$17:$DN$19,$DP$17:$DP$19,$DR$17:$DR$19)&gt;=$BG$15,0,DJ17)))</f>
        <v>0</v>
      </c>
      <c r="DL17" s="24">
        <f t="shared" ref="DL17:DL19" si="78">IF(SUM($DI$17:$DI$19)&gt;=$DG$4, DG17*$DJ$4, "0")</f>
        <v>105000</v>
      </c>
      <c r="DM17" s="24" t="str">
        <f t="shared" ref="DM17:DM19" si="79">(IF($DF$15-$DH$15&gt;=$DK$15,"0", IF(SUM($DJ$17:$DJ$19,$DL$17:$DL$19,$DN$17:$DN$19,$DP$17:$DP$19,$DR$17:$DR$19)&gt;=$BG$15,0,DL17)))</f>
        <v>0</v>
      </c>
      <c r="DN17" s="24">
        <f t="shared" ref="DN17:DN19" si="80">IF(SUM($DI$17:$DI$19)&gt;=$DG$5, $DG17*$DJ$5, "0")</f>
        <v>150000</v>
      </c>
      <c r="DO17" s="24" t="str">
        <f t="shared" ref="DO17:DO19" si="81">(IF($DF$15-$DH$15&gt;=$DK$15,"0", IF(SUM($DJ$17:$DJ$19,$DL$17:$DL$19,$DN$17:$DN$19,$DP$17:$DP$19,$DR$17:$DR$19)&gt;=$BG$15,0,DN17)))</f>
        <v>0</v>
      </c>
      <c r="DP17" s="24">
        <f t="shared" ref="DP17:DP19" si="82">IF(SUM($DI$17:$DI$19)&gt;=$DG$6, $DG17*$DJ$6, "0")</f>
        <v>195000</v>
      </c>
      <c r="DQ17" s="24" t="str">
        <f t="shared" ref="DQ17:DQ19" si="83">(IF($DF$15-$DH$15&gt;=$DK$15,"0", IF(SUM($DJ$17:$DJ$19,$DL$17:$DL$19,$DN$17:$DN$19,$DP$17:$DP$19,$DR$17:$DR$19)&gt;=$BG$15,0,DP17)))</f>
        <v>0</v>
      </c>
      <c r="DR17" s="24">
        <f t="shared" ref="DR17:DR19" si="84">IF(SUM($DI$17:$DI$19)&gt;=$DG$7, $DG17*$DJ$7, "0")</f>
        <v>240000</v>
      </c>
      <c r="DS17" s="24" t="str">
        <f t="shared" ref="DS17:DS19" si="85">(IF($DF$15-$DH$15&gt;=$DK$15,"0", IF(SUM($DJ$17:$DJ$19,$DL$17:$DL$19,$DN$17:$DN$19,$DP$17:$DP$19,$DR$17:$DR$19)&gt;=$BG$15,0,DR17)))</f>
        <v>0</v>
      </c>
      <c r="DT17" s="25">
        <f t="shared" ref="DT17:DT19" si="86">DI17-DK17-DM17-DO17-DQ17-DS17</f>
        <v>6000000</v>
      </c>
      <c r="DV17" s="19"/>
      <c r="DW17" s="2" t="s">
        <v>38</v>
      </c>
      <c r="DX17" s="2" t="s">
        <v>39</v>
      </c>
      <c r="DY17" s="2" t="s">
        <v>40</v>
      </c>
      <c r="DZ17" s="2" t="s">
        <v>41</v>
      </c>
      <c r="EA17" s="2" t="s">
        <v>48</v>
      </c>
      <c r="EB17" s="2" t="s">
        <v>42</v>
      </c>
      <c r="EC17" s="2" t="s">
        <v>49</v>
      </c>
      <c r="ED17" s="2" t="s">
        <v>43</v>
      </c>
      <c r="EE17" s="2" t="s">
        <v>50</v>
      </c>
      <c r="EF17" s="2" t="s">
        <v>44</v>
      </c>
      <c r="EG17" s="2" t="s">
        <v>51</v>
      </c>
      <c r="EH17" s="2" t="s">
        <v>45</v>
      </c>
      <c r="EI17" s="2" t="s">
        <v>52</v>
      </c>
      <c r="EJ17" s="2" t="s">
        <v>46</v>
      </c>
      <c r="EK17" s="23" t="s">
        <v>47</v>
      </c>
      <c r="EM17" s="19"/>
      <c r="EN17" s="2" t="s">
        <v>38</v>
      </c>
      <c r="EO17" s="2" t="s">
        <v>39</v>
      </c>
      <c r="EP17" s="2" t="s">
        <v>40</v>
      </c>
      <c r="EQ17" s="2" t="s">
        <v>41</v>
      </c>
      <c r="ER17" s="2" t="s">
        <v>48</v>
      </c>
      <c r="ES17" s="2" t="s">
        <v>42</v>
      </c>
      <c r="ET17" s="2" t="s">
        <v>49</v>
      </c>
      <c r="EU17" s="2" t="s">
        <v>43</v>
      </c>
      <c r="EV17" s="2" t="s">
        <v>50</v>
      </c>
      <c r="EW17" s="2" t="s">
        <v>44</v>
      </c>
      <c r="EX17" s="2" t="s">
        <v>51</v>
      </c>
      <c r="EY17" s="2" t="s">
        <v>45</v>
      </c>
      <c r="EZ17" s="2" t="s">
        <v>52</v>
      </c>
      <c r="FA17" s="2" t="s">
        <v>46</v>
      </c>
      <c r="FB17" s="23" t="s">
        <v>47</v>
      </c>
      <c r="FD17" s="19"/>
      <c r="FE17" s="2" t="s">
        <v>38</v>
      </c>
      <c r="FF17" s="2" t="s">
        <v>39</v>
      </c>
      <c r="FG17" s="2" t="s">
        <v>40</v>
      </c>
      <c r="FH17" s="2" t="s">
        <v>41</v>
      </c>
      <c r="FI17" s="2" t="s">
        <v>48</v>
      </c>
      <c r="FJ17" s="2" t="s">
        <v>42</v>
      </c>
      <c r="FK17" s="2" t="s">
        <v>49</v>
      </c>
      <c r="FL17" s="2" t="s">
        <v>43</v>
      </c>
      <c r="FM17" s="2" t="s">
        <v>50</v>
      </c>
      <c r="FN17" s="2" t="s">
        <v>44</v>
      </c>
      <c r="FO17" s="2" t="s">
        <v>51</v>
      </c>
      <c r="FP17" s="2" t="s">
        <v>45</v>
      </c>
      <c r="FQ17" s="2" t="s">
        <v>52</v>
      </c>
      <c r="FR17" s="2" t="s">
        <v>46</v>
      </c>
      <c r="FS17" s="23" t="s">
        <v>47</v>
      </c>
      <c r="FU17" s="19"/>
      <c r="FV17" s="9"/>
      <c r="FW17" s="9"/>
      <c r="FX17" s="9"/>
      <c r="FY17" s="9"/>
      <c r="FZ17" s="9"/>
      <c r="GA17" s="9"/>
    </row>
    <row r="18">
      <c r="A18" s="23" t="s">
        <v>29</v>
      </c>
      <c r="B18" s="2">
        <v>20.0</v>
      </c>
      <c r="C18" s="9">
        <f>C12</f>
        <v>300000</v>
      </c>
      <c r="D18" s="9">
        <f t="shared" si="1"/>
        <v>6000000</v>
      </c>
      <c r="E18" s="24">
        <f t="shared" si="2"/>
        <v>40000</v>
      </c>
      <c r="F18" s="24">
        <f t="shared" si="3"/>
        <v>70000</v>
      </c>
      <c r="G18" s="24">
        <f t="shared" si="4"/>
        <v>100000</v>
      </c>
      <c r="H18" s="24">
        <f t="shared" si="5"/>
        <v>130000</v>
      </c>
      <c r="I18" s="24">
        <f t="shared" si="6"/>
        <v>160000</v>
      </c>
      <c r="J18" s="25">
        <f t="shared" si="7"/>
        <v>5500000</v>
      </c>
      <c r="L18" s="9"/>
      <c r="M18" s="20" t="s">
        <v>29</v>
      </c>
      <c r="N18" s="2">
        <v>3.0</v>
      </c>
      <c r="O18" s="9">
        <f>O12</f>
        <v>300000</v>
      </c>
      <c r="P18" s="9">
        <f t="shared" si="8"/>
        <v>900000</v>
      </c>
      <c r="Q18" s="24" t="str">
        <f t="shared" si="9"/>
        <v>0</v>
      </c>
      <c r="R18" s="24" t="str">
        <f t="shared" si="10"/>
        <v>0</v>
      </c>
      <c r="S18" s="24" t="str">
        <f t="shared" si="11"/>
        <v>0</v>
      </c>
      <c r="T18" s="24" t="str">
        <f t="shared" si="12"/>
        <v>0</v>
      </c>
      <c r="U18" s="24" t="str">
        <f t="shared" si="13"/>
        <v>0</v>
      </c>
      <c r="V18" s="25">
        <f t="shared" si="14"/>
        <v>900000</v>
      </c>
      <c r="X18" s="9"/>
      <c r="Y18" s="20" t="s">
        <v>29</v>
      </c>
      <c r="Z18" s="2">
        <v>10.0</v>
      </c>
      <c r="AA18" s="9">
        <f>AA12</f>
        <v>300000</v>
      </c>
      <c r="AB18" s="9">
        <f t="shared" si="15"/>
        <v>3000000</v>
      </c>
      <c r="AC18" s="24">
        <f t="shared" si="16"/>
        <v>20000</v>
      </c>
      <c r="AD18" s="24">
        <f t="shared" si="17"/>
        <v>20000</v>
      </c>
      <c r="AE18" s="24">
        <f t="shared" si="18"/>
        <v>35000</v>
      </c>
      <c r="AF18" s="24">
        <f t="shared" si="19"/>
        <v>35000</v>
      </c>
      <c r="AG18" s="24">
        <f t="shared" si="20"/>
        <v>50000</v>
      </c>
      <c r="AH18" s="24">
        <f t="shared" si="21"/>
        <v>50000</v>
      </c>
      <c r="AI18" s="24" t="str">
        <f t="shared" si="22"/>
        <v>0</v>
      </c>
      <c r="AJ18" s="24" t="str">
        <f t="shared" si="23"/>
        <v>0</v>
      </c>
      <c r="AK18" s="24" t="str">
        <f t="shared" si="24"/>
        <v>0</v>
      </c>
      <c r="AL18" s="24" t="str">
        <f t="shared" si="25"/>
        <v>0</v>
      </c>
      <c r="AM18" s="25">
        <f t="shared" si="26"/>
        <v>2895000</v>
      </c>
      <c r="AO18" s="19"/>
      <c r="AP18" s="23" t="s">
        <v>29</v>
      </c>
      <c r="AQ18" s="2">
        <v>50.0</v>
      </c>
      <c r="AR18" s="9">
        <f>AR12</f>
        <v>300000</v>
      </c>
      <c r="AS18" s="9">
        <f t="shared" si="27"/>
        <v>15000000</v>
      </c>
      <c r="AT18" s="24">
        <f t="shared" si="28"/>
        <v>100000</v>
      </c>
      <c r="AU18" s="24">
        <f t="shared" si="29"/>
        <v>0</v>
      </c>
      <c r="AV18" s="24">
        <f t="shared" si="30"/>
        <v>175000</v>
      </c>
      <c r="AW18" s="24">
        <f t="shared" si="31"/>
        <v>0</v>
      </c>
      <c r="AX18" s="24">
        <f t="shared" si="32"/>
        <v>250000</v>
      </c>
      <c r="AY18" s="24">
        <f t="shared" si="33"/>
        <v>0</v>
      </c>
      <c r="AZ18" s="24">
        <f t="shared" si="34"/>
        <v>325000</v>
      </c>
      <c r="BA18" s="24">
        <f t="shared" si="35"/>
        <v>0</v>
      </c>
      <c r="BB18" s="24">
        <f t="shared" si="36"/>
        <v>400000</v>
      </c>
      <c r="BC18" s="24">
        <f t="shared" si="37"/>
        <v>0</v>
      </c>
      <c r="BD18" s="25">
        <f t="shared" si="38"/>
        <v>15000000</v>
      </c>
      <c r="BF18" s="19"/>
      <c r="BG18" s="20" t="s">
        <v>29</v>
      </c>
      <c r="BH18" s="2">
        <v>30.0</v>
      </c>
      <c r="BI18" s="9">
        <f>BI12</f>
        <v>300000</v>
      </c>
      <c r="BJ18" s="9">
        <f t="shared" si="39"/>
        <v>9000000</v>
      </c>
      <c r="BK18" s="24">
        <f t="shared" si="40"/>
        <v>60000</v>
      </c>
      <c r="BL18" s="24">
        <f t="shared" si="41"/>
        <v>60000</v>
      </c>
      <c r="BM18" s="24">
        <f t="shared" si="42"/>
        <v>105000</v>
      </c>
      <c r="BN18" s="24">
        <f t="shared" si="43"/>
        <v>105000</v>
      </c>
      <c r="BO18" s="24">
        <f t="shared" si="44"/>
        <v>150000</v>
      </c>
      <c r="BP18" s="24">
        <f t="shared" si="45"/>
        <v>150000</v>
      </c>
      <c r="BQ18" s="24">
        <f t="shared" si="46"/>
        <v>195000</v>
      </c>
      <c r="BR18" s="24">
        <f t="shared" si="47"/>
        <v>195000</v>
      </c>
      <c r="BS18" s="24">
        <f t="shared" si="48"/>
        <v>240000</v>
      </c>
      <c r="BT18" s="24">
        <f t="shared" si="49"/>
        <v>240000</v>
      </c>
      <c r="BU18" s="25">
        <f t="shared" si="50"/>
        <v>8250000</v>
      </c>
      <c r="BW18" s="19"/>
      <c r="BX18" s="20" t="s">
        <v>29</v>
      </c>
      <c r="BY18" s="2">
        <v>10.0</v>
      </c>
      <c r="BZ18" s="9">
        <f>BZ12</f>
        <v>300000</v>
      </c>
      <c r="CA18" s="9">
        <f t="shared" si="51"/>
        <v>3000000</v>
      </c>
      <c r="CB18" s="24">
        <f t="shared" si="52"/>
        <v>20000</v>
      </c>
      <c r="CC18" s="24">
        <f t="shared" si="53"/>
        <v>0</v>
      </c>
      <c r="CD18" s="24">
        <f t="shared" si="54"/>
        <v>35000</v>
      </c>
      <c r="CE18" s="24">
        <f t="shared" si="55"/>
        <v>0</v>
      </c>
      <c r="CF18" s="24" t="str">
        <f t="shared" si="56"/>
        <v>0</v>
      </c>
      <c r="CG18" s="24">
        <f t="shared" si="57"/>
        <v>0</v>
      </c>
      <c r="CH18" s="24" t="str">
        <f t="shared" si="58"/>
        <v>0</v>
      </c>
      <c r="CI18" s="24">
        <f t="shared" si="59"/>
        <v>0</v>
      </c>
      <c r="CJ18" s="24" t="str">
        <f t="shared" si="60"/>
        <v>0</v>
      </c>
      <c r="CK18" s="24">
        <f t="shared" si="61"/>
        <v>0</v>
      </c>
      <c r="CL18" s="25">
        <f t="shared" si="62"/>
        <v>3000000</v>
      </c>
      <c r="CN18" s="19"/>
      <c r="CO18" s="20" t="s">
        <v>29</v>
      </c>
      <c r="CP18" s="2">
        <v>30.0</v>
      </c>
      <c r="CQ18" s="9">
        <f>CQ12</f>
        <v>300000</v>
      </c>
      <c r="CR18" s="9">
        <f t="shared" si="63"/>
        <v>9000000</v>
      </c>
      <c r="CS18" s="24">
        <f t="shared" si="64"/>
        <v>60000</v>
      </c>
      <c r="CT18" s="24">
        <f t="shared" si="65"/>
        <v>60000</v>
      </c>
      <c r="CU18" s="24">
        <f t="shared" si="66"/>
        <v>105000</v>
      </c>
      <c r="CV18" s="24">
        <f t="shared" si="67"/>
        <v>105000</v>
      </c>
      <c r="CW18" s="24">
        <f t="shared" si="68"/>
        <v>150000</v>
      </c>
      <c r="CX18" s="24">
        <f t="shared" si="69"/>
        <v>150000</v>
      </c>
      <c r="CY18" s="24">
        <f t="shared" si="70"/>
        <v>195000</v>
      </c>
      <c r="CZ18" s="24">
        <f t="shared" si="71"/>
        <v>195000</v>
      </c>
      <c r="DA18" s="24">
        <f t="shared" si="72"/>
        <v>240000</v>
      </c>
      <c r="DB18" s="24">
        <f t="shared" si="73"/>
        <v>240000</v>
      </c>
      <c r="DC18" s="25">
        <f t="shared" si="74"/>
        <v>8250000</v>
      </c>
      <c r="DE18" s="19"/>
      <c r="DF18" s="20" t="s">
        <v>29</v>
      </c>
      <c r="DG18" s="2">
        <v>30.0</v>
      </c>
      <c r="DH18" s="9">
        <f>DH12</f>
        <v>300000</v>
      </c>
      <c r="DI18" s="9">
        <f t="shared" si="75"/>
        <v>9000000</v>
      </c>
      <c r="DJ18" s="24">
        <f t="shared" si="76"/>
        <v>60000</v>
      </c>
      <c r="DK18" s="24" t="str">
        <f t="shared" si="77"/>
        <v>0</v>
      </c>
      <c r="DL18" s="24">
        <f t="shared" si="78"/>
        <v>105000</v>
      </c>
      <c r="DM18" s="24" t="str">
        <f t="shared" si="79"/>
        <v>0</v>
      </c>
      <c r="DN18" s="24">
        <f t="shared" si="80"/>
        <v>150000</v>
      </c>
      <c r="DO18" s="24" t="str">
        <f t="shared" si="81"/>
        <v>0</v>
      </c>
      <c r="DP18" s="24">
        <f t="shared" si="82"/>
        <v>195000</v>
      </c>
      <c r="DQ18" s="24" t="str">
        <f t="shared" si="83"/>
        <v>0</v>
      </c>
      <c r="DR18" s="24">
        <f t="shared" si="84"/>
        <v>240000</v>
      </c>
      <c r="DS18" s="24" t="str">
        <f t="shared" si="85"/>
        <v>0</v>
      </c>
      <c r="DT18" s="25">
        <f t="shared" si="86"/>
        <v>9000000</v>
      </c>
      <c r="DV18" s="19"/>
      <c r="DW18" s="2" t="s">
        <v>27</v>
      </c>
      <c r="DX18" s="2">
        <v>20.0</v>
      </c>
      <c r="DY18" s="9">
        <f>DZ11</f>
        <v>200000</v>
      </c>
      <c r="DZ18" s="9">
        <f t="shared" ref="DZ18:DZ20" si="87">DX18*DY18</f>
        <v>4000000</v>
      </c>
      <c r="EA18" s="24"/>
      <c r="EB18" s="24" t="str">
        <f t="shared" ref="EB18:EB20" si="88">(IF($DF$15-$DH$15&gt;=$DK$15,"0", IF(SUM($DJ$17:$DJ$19,$DL$17:$DL$19,$DN$17:$DN$19,$DP$17:$DP$19,$DR$17:$DR$19)&gt;=$BG$15,0,EA18)))</f>
        <v>0</v>
      </c>
      <c r="EC18" s="24"/>
      <c r="ED18" s="24" t="str">
        <f t="shared" ref="ED18:ED20" si="89">(IF($DF$15-$DH$15&gt;=$DK$15,"0", IF(SUM($DJ$17:$DJ$19,$DL$17:$DL$19,$DN$17:$DN$19,$DP$17:$DP$19,$DR$17:$DR$19)&gt;=$BG$15,0,EC18)))</f>
        <v>0</v>
      </c>
      <c r="EE18" s="24"/>
      <c r="EF18" s="24" t="str">
        <f t="shared" ref="EF18:EF20" si="90">(IF($DF$15-$DH$15&gt;=$DK$15,"0", IF(SUM($DJ$17:$DJ$19,$DL$17:$DL$19,$DN$17:$DN$19,$DP$17:$DP$19,$DR$17:$DR$19)&gt;=$BG$15,0,EE18)))</f>
        <v>0</v>
      </c>
      <c r="EG18" s="24"/>
      <c r="EH18" s="24" t="str">
        <f t="shared" ref="EH18:EH20" si="91">(IF($DF$15-$DH$15&gt;=$DK$15,"0", IF(SUM($DJ$17:$DJ$19,$DL$17:$DL$19,$DN$17:$DN$19,$DP$17:$DP$19,$DR$17:$DR$19)&gt;=$BG$15,0,EG18)))</f>
        <v>0</v>
      </c>
      <c r="EI18" s="24"/>
      <c r="EJ18" s="24" t="str">
        <f t="shared" ref="EJ18:EJ20" si="92">(IF($DF$15-$DH$15&gt;=$DK$15,"0", IF(SUM($DJ$17:$DJ$19,$DL$17:$DL$19,$DN$17:$DN$19,$DP$17:$DP$19,$DR$17:$DR$19)&gt;=$BG$15,0,EI18)))</f>
        <v>0</v>
      </c>
      <c r="EK18" s="25">
        <f t="shared" ref="EK18:EK20" si="93">DZ18-EB18-ED18-EF18-EH18-EJ18</f>
        <v>4000000</v>
      </c>
      <c r="EM18" s="19"/>
      <c r="EN18" s="2" t="s">
        <v>29</v>
      </c>
      <c r="EO18" s="2">
        <v>30.0</v>
      </c>
      <c r="EP18" s="9">
        <f>EQ11</f>
        <v>200000</v>
      </c>
      <c r="EQ18" s="9">
        <f t="shared" ref="EQ18:EQ20" si="94">EO18*EP18</f>
        <v>6000000</v>
      </c>
      <c r="ER18" s="24"/>
      <c r="ES18" s="24" t="str">
        <f t="shared" ref="ES18:ES20" si="95">(IF($DF$15-$DH$15&gt;=$DK$15,"0", IF(SUM($DJ$17:$DJ$19,$DL$17:$DL$19,$DN$17:$DN$19,$DP$17:$DP$19,$DR$17:$DR$19)&gt;=$BG$15,0,ER18)))</f>
        <v>0</v>
      </c>
      <c r="ET18" s="24"/>
      <c r="EU18" s="24" t="str">
        <f t="shared" ref="EU18:EU20" si="96">(IF($DF$15-$DH$15&gt;=$DK$15,"0", IF(SUM($DJ$17:$DJ$19,$DL$17:$DL$19,$DN$17:$DN$19,$DP$17:$DP$19,$DR$17:$DR$19)&gt;=$BG$15,0,ET18)))</f>
        <v>0</v>
      </c>
      <c r="EV18" s="24"/>
      <c r="EW18" s="24" t="str">
        <f t="shared" ref="EW18:EW20" si="97">(IF($DF$15-$DH$15&gt;=$DK$15,"0", IF(SUM($DJ$17:$DJ$19,$DL$17:$DL$19,$DN$17:$DN$19,$DP$17:$DP$19,$DR$17:$DR$19)&gt;=$BG$15,0,EV18)))</f>
        <v>0</v>
      </c>
      <c r="EX18" s="24"/>
      <c r="EY18" s="24" t="str">
        <f t="shared" ref="EY18:EY20" si="98">(IF($DF$15-$DH$15&gt;=$DK$15,"0", IF(SUM($DJ$17:$DJ$19,$DL$17:$DL$19,$DN$17:$DN$19,$DP$17:$DP$19,$DR$17:$DR$19)&gt;=$BG$15,0,EX18)))</f>
        <v>0</v>
      </c>
      <c r="EZ18" s="24"/>
      <c r="FA18" s="24" t="str">
        <f t="shared" ref="FA18:FA20" si="99">(IF($DF$15-$DH$15&gt;=$DK$15,"0", IF(SUM($DJ$17:$DJ$19,$DL$17:$DL$19,$DN$17:$DN$19,$DP$17:$DP$19,$DR$17:$DR$19)&gt;=$BG$15,0,EZ18)))</f>
        <v>0</v>
      </c>
      <c r="FB18" s="25">
        <f t="shared" ref="FB18:FB20" si="100">EQ18-ES18-EU18-EW18-EY18-FA18</f>
        <v>6000000</v>
      </c>
      <c r="FD18" s="19"/>
      <c r="FE18" s="2" t="s">
        <v>27</v>
      </c>
      <c r="FF18" s="2">
        <v>20.0</v>
      </c>
      <c r="FG18" s="9">
        <f>FH11</f>
        <v>200000</v>
      </c>
      <c r="FH18" s="9">
        <f t="shared" ref="FH18:FH20" si="101">FF18*FG18</f>
        <v>4000000</v>
      </c>
      <c r="FI18" s="24"/>
      <c r="FJ18" s="24" t="str">
        <f t="shared" ref="FJ18:FJ20" si="102">(IF($DF$15-$DH$15&gt;=$DK$15,"0", IF(SUM($DJ$17:$DJ$19,$DL$17:$DL$19,$DN$17:$DN$19,$DP$17:$DP$19,$DR$17:$DR$19)&gt;=$BG$15,0,FI18)))</f>
        <v>0</v>
      </c>
      <c r="FK18" s="24"/>
      <c r="FL18" s="24" t="str">
        <f t="shared" ref="FL18:FL20" si="103">(IF($DF$15-$DH$15&gt;=$DK$15,"0", IF(SUM($DJ$17:$DJ$19,$DL$17:$DL$19,$DN$17:$DN$19,$DP$17:$DP$19,$DR$17:$DR$19)&gt;=$BG$15,0,FK18)))</f>
        <v>0</v>
      </c>
      <c r="FM18" s="24"/>
      <c r="FN18" s="24" t="str">
        <f t="shared" ref="FN18:FN20" si="104">(IF($DF$15-$DH$15&gt;=$DK$15,"0", IF(SUM($DJ$17:$DJ$19,$DL$17:$DL$19,$DN$17:$DN$19,$DP$17:$DP$19,$DR$17:$DR$19)&gt;=$BG$15,0,FM18)))</f>
        <v>0</v>
      </c>
      <c r="FO18" s="24"/>
      <c r="FP18" s="24" t="str">
        <f t="shared" ref="FP18:FP20" si="105">(IF($DF$15-$DH$15&gt;=$DK$15,"0", IF(SUM($DJ$17:$DJ$19,$DL$17:$DL$19,$DN$17:$DN$19,$DP$17:$DP$19,$DR$17:$DR$19)&gt;=$BG$15,0,FO18)))</f>
        <v>0</v>
      </c>
      <c r="FQ18" s="24"/>
      <c r="FR18" s="24" t="str">
        <f t="shared" ref="FR18:FR20" si="106">(IF($DF$15-$DH$15&gt;=$DK$15,"0", IF(SUM($DJ$17:$DJ$19,$DL$17:$DL$19,$DN$17:$DN$19,$DP$17:$DP$19,$DR$17:$DR$19)&gt;=$BG$15,0,FQ18)))</f>
        <v>0</v>
      </c>
      <c r="FS18" s="25">
        <f t="shared" ref="FS18:FS20" si="107">FH18-FJ18-FL18-FN18-FP18-FR18</f>
        <v>4000000</v>
      </c>
      <c r="FU18" s="19"/>
      <c r="FV18" s="9"/>
      <c r="FW18" s="9"/>
      <c r="FX18" s="9"/>
      <c r="FY18" s="9"/>
      <c r="FZ18" s="9"/>
      <c r="GA18" s="9"/>
    </row>
    <row r="19">
      <c r="A19" s="23" t="s">
        <v>54</v>
      </c>
      <c r="B19" s="2">
        <v>50.0</v>
      </c>
      <c r="C19" s="9">
        <f>D13</f>
        <v>180000</v>
      </c>
      <c r="D19" s="9">
        <f t="shared" si="1"/>
        <v>9000000</v>
      </c>
      <c r="E19" s="24">
        <f t="shared" si="2"/>
        <v>100000</v>
      </c>
      <c r="F19" s="24">
        <f t="shared" si="3"/>
        <v>175000</v>
      </c>
      <c r="G19" s="24">
        <f t="shared" si="4"/>
        <v>250000</v>
      </c>
      <c r="H19" s="24">
        <f t="shared" si="5"/>
        <v>325000</v>
      </c>
      <c r="I19" s="24">
        <f t="shared" si="6"/>
        <v>400000</v>
      </c>
      <c r="J19" s="25">
        <f t="shared" si="7"/>
        <v>7750000</v>
      </c>
      <c r="L19" s="9"/>
      <c r="M19" s="20" t="s">
        <v>54</v>
      </c>
      <c r="N19" s="2">
        <v>3.0</v>
      </c>
      <c r="O19" s="9">
        <f>P13</f>
        <v>180000</v>
      </c>
      <c r="P19" s="9">
        <f t="shared" si="8"/>
        <v>540000</v>
      </c>
      <c r="Q19" s="24" t="str">
        <f t="shared" si="9"/>
        <v>0</v>
      </c>
      <c r="R19" s="24" t="str">
        <f t="shared" si="10"/>
        <v>0</v>
      </c>
      <c r="S19" s="24" t="str">
        <f t="shared" si="11"/>
        <v>0</v>
      </c>
      <c r="T19" s="24" t="str">
        <f t="shared" si="12"/>
        <v>0</v>
      </c>
      <c r="U19" s="24" t="str">
        <f t="shared" si="13"/>
        <v>0</v>
      </c>
      <c r="V19" s="25">
        <f t="shared" si="14"/>
        <v>540000</v>
      </c>
      <c r="X19" s="9"/>
      <c r="Y19" s="20" t="s">
        <v>54</v>
      </c>
      <c r="Z19" s="2">
        <v>20.0</v>
      </c>
      <c r="AA19" s="9">
        <f>AB13</f>
        <v>180000</v>
      </c>
      <c r="AB19" s="9">
        <f t="shared" si="15"/>
        <v>3600000</v>
      </c>
      <c r="AC19" s="24">
        <f t="shared" si="16"/>
        <v>40000</v>
      </c>
      <c r="AD19" s="24">
        <f t="shared" si="17"/>
        <v>40000</v>
      </c>
      <c r="AE19" s="24">
        <f t="shared" si="18"/>
        <v>70000</v>
      </c>
      <c r="AF19" s="24">
        <f t="shared" si="19"/>
        <v>70000</v>
      </c>
      <c r="AG19" s="24">
        <f t="shared" si="20"/>
        <v>100000</v>
      </c>
      <c r="AH19" s="24">
        <f t="shared" si="21"/>
        <v>100000</v>
      </c>
      <c r="AI19" s="24" t="str">
        <f t="shared" si="22"/>
        <v>0</v>
      </c>
      <c r="AJ19" s="24" t="str">
        <f t="shared" si="23"/>
        <v>0</v>
      </c>
      <c r="AK19" s="24" t="str">
        <f t="shared" si="24"/>
        <v>0</v>
      </c>
      <c r="AL19" s="24" t="str">
        <f t="shared" si="25"/>
        <v>0</v>
      </c>
      <c r="AM19" s="25">
        <f t="shared" si="26"/>
        <v>3390000</v>
      </c>
      <c r="AO19" s="19"/>
      <c r="AP19" s="23" t="s">
        <v>54</v>
      </c>
      <c r="AQ19" s="2">
        <v>50.0</v>
      </c>
      <c r="AR19" s="9">
        <f>AS13</f>
        <v>180000</v>
      </c>
      <c r="AS19" s="9">
        <f t="shared" si="27"/>
        <v>9000000</v>
      </c>
      <c r="AT19" s="24">
        <f t="shared" si="28"/>
        <v>100000</v>
      </c>
      <c r="AU19" s="24">
        <f t="shared" si="29"/>
        <v>0</v>
      </c>
      <c r="AV19" s="24">
        <f t="shared" si="30"/>
        <v>175000</v>
      </c>
      <c r="AW19" s="24">
        <f t="shared" si="31"/>
        <v>0</v>
      </c>
      <c r="AX19" s="24">
        <f t="shared" si="32"/>
        <v>250000</v>
      </c>
      <c r="AY19" s="24">
        <f t="shared" si="33"/>
        <v>0</v>
      </c>
      <c r="AZ19" s="24">
        <f t="shared" si="34"/>
        <v>325000</v>
      </c>
      <c r="BA19" s="24">
        <f t="shared" si="35"/>
        <v>0</v>
      </c>
      <c r="BB19" s="24">
        <f t="shared" si="36"/>
        <v>400000</v>
      </c>
      <c r="BC19" s="24">
        <f t="shared" si="37"/>
        <v>0</v>
      </c>
      <c r="BD19" s="25">
        <f t="shared" si="38"/>
        <v>9000000</v>
      </c>
      <c r="BF19" s="19"/>
      <c r="BG19" s="20" t="s">
        <v>54</v>
      </c>
      <c r="BH19" s="2">
        <v>50.0</v>
      </c>
      <c r="BI19" s="9">
        <f>BJ13</f>
        <v>180000</v>
      </c>
      <c r="BJ19" s="9">
        <f t="shared" si="39"/>
        <v>9000000</v>
      </c>
      <c r="BK19" s="24">
        <f t="shared" si="40"/>
        <v>100000</v>
      </c>
      <c r="BL19" s="24">
        <f t="shared" si="41"/>
        <v>100000</v>
      </c>
      <c r="BM19" s="24">
        <f t="shared" si="42"/>
        <v>175000</v>
      </c>
      <c r="BN19" s="24">
        <f t="shared" si="43"/>
        <v>175000</v>
      </c>
      <c r="BO19" s="24">
        <f t="shared" si="44"/>
        <v>250000</v>
      </c>
      <c r="BP19" s="24">
        <f t="shared" si="45"/>
        <v>250000</v>
      </c>
      <c r="BQ19" s="24">
        <f t="shared" si="46"/>
        <v>325000</v>
      </c>
      <c r="BR19" s="24">
        <f t="shared" si="47"/>
        <v>325000</v>
      </c>
      <c r="BS19" s="24">
        <f t="shared" si="48"/>
        <v>400000</v>
      </c>
      <c r="BT19" s="24">
        <f t="shared" si="49"/>
        <v>400000</v>
      </c>
      <c r="BU19" s="25">
        <f t="shared" si="50"/>
        <v>7750000</v>
      </c>
      <c r="BW19" s="19"/>
      <c r="BX19" s="20" t="s">
        <v>54</v>
      </c>
      <c r="BY19" s="2">
        <v>25.0</v>
      </c>
      <c r="BZ19" s="9">
        <f>CA13</f>
        <v>180000</v>
      </c>
      <c r="CA19" s="9">
        <f t="shared" si="51"/>
        <v>4500000</v>
      </c>
      <c r="CB19" s="24">
        <f t="shared" si="52"/>
        <v>50000</v>
      </c>
      <c r="CC19" s="24">
        <f t="shared" si="53"/>
        <v>0</v>
      </c>
      <c r="CD19" s="24">
        <f t="shared" si="54"/>
        <v>87500</v>
      </c>
      <c r="CE19" s="24">
        <f t="shared" si="55"/>
        <v>0</v>
      </c>
      <c r="CF19" s="24" t="str">
        <f t="shared" si="56"/>
        <v>0</v>
      </c>
      <c r="CG19" s="24">
        <f t="shared" si="57"/>
        <v>0</v>
      </c>
      <c r="CH19" s="24" t="str">
        <f t="shared" si="58"/>
        <v>0</v>
      </c>
      <c r="CI19" s="24">
        <f t="shared" si="59"/>
        <v>0</v>
      </c>
      <c r="CJ19" s="24" t="str">
        <f t="shared" si="60"/>
        <v>0</v>
      </c>
      <c r="CK19" s="24">
        <f t="shared" si="61"/>
        <v>0</v>
      </c>
      <c r="CL19" s="25">
        <f t="shared" si="62"/>
        <v>4500000</v>
      </c>
      <c r="CN19" s="19"/>
      <c r="CO19" s="20" t="s">
        <v>54</v>
      </c>
      <c r="CP19" s="2">
        <v>50.0</v>
      </c>
      <c r="CQ19" s="9">
        <f>CR13</f>
        <v>180000</v>
      </c>
      <c r="CR19" s="9">
        <f t="shared" si="63"/>
        <v>9000000</v>
      </c>
      <c r="CS19" s="24">
        <f t="shared" si="64"/>
        <v>100000</v>
      </c>
      <c r="CT19" s="24">
        <f t="shared" si="65"/>
        <v>100000</v>
      </c>
      <c r="CU19" s="24">
        <f t="shared" si="66"/>
        <v>175000</v>
      </c>
      <c r="CV19" s="24">
        <f t="shared" si="67"/>
        <v>175000</v>
      </c>
      <c r="CW19" s="24">
        <f t="shared" si="68"/>
        <v>250000</v>
      </c>
      <c r="CX19" s="24">
        <f t="shared" si="69"/>
        <v>250000</v>
      </c>
      <c r="CY19" s="24">
        <f t="shared" si="70"/>
        <v>325000</v>
      </c>
      <c r="CZ19" s="24">
        <f t="shared" si="71"/>
        <v>325000</v>
      </c>
      <c r="DA19" s="24">
        <f t="shared" si="72"/>
        <v>400000</v>
      </c>
      <c r="DB19" s="24">
        <f t="shared" si="73"/>
        <v>400000</v>
      </c>
      <c r="DC19" s="25">
        <f t="shared" si="74"/>
        <v>7750000</v>
      </c>
      <c r="DE19" s="19"/>
      <c r="DF19" s="20" t="s">
        <v>54</v>
      </c>
      <c r="DG19" s="2">
        <v>50.0</v>
      </c>
      <c r="DH19" s="9">
        <f>DI13</f>
        <v>180000</v>
      </c>
      <c r="DI19" s="9">
        <f t="shared" si="75"/>
        <v>9000000</v>
      </c>
      <c r="DJ19" s="24">
        <f t="shared" si="76"/>
        <v>100000</v>
      </c>
      <c r="DK19" s="24" t="str">
        <f t="shared" si="77"/>
        <v>0</v>
      </c>
      <c r="DL19" s="24">
        <f t="shared" si="78"/>
        <v>175000</v>
      </c>
      <c r="DM19" s="24" t="str">
        <f t="shared" si="79"/>
        <v>0</v>
      </c>
      <c r="DN19" s="24">
        <f t="shared" si="80"/>
        <v>250000</v>
      </c>
      <c r="DO19" s="24" t="str">
        <f t="shared" si="81"/>
        <v>0</v>
      </c>
      <c r="DP19" s="24">
        <f t="shared" si="82"/>
        <v>325000</v>
      </c>
      <c r="DQ19" s="24" t="str">
        <f t="shared" si="83"/>
        <v>0</v>
      </c>
      <c r="DR19" s="24">
        <f t="shared" si="84"/>
        <v>400000</v>
      </c>
      <c r="DS19" s="24" t="str">
        <f t="shared" si="85"/>
        <v>0</v>
      </c>
      <c r="DT19" s="25">
        <f t="shared" si="86"/>
        <v>9000000</v>
      </c>
      <c r="DV19" s="19"/>
      <c r="DW19" s="2" t="s">
        <v>55</v>
      </c>
      <c r="DX19" s="2">
        <v>3.0</v>
      </c>
      <c r="DY19" s="9">
        <f>EA12</f>
        <v>300000</v>
      </c>
      <c r="DZ19" s="9">
        <f t="shared" si="87"/>
        <v>900000</v>
      </c>
      <c r="EA19" s="24"/>
      <c r="EB19" s="24" t="str">
        <f t="shared" si="88"/>
        <v>0</v>
      </c>
      <c r="EC19" s="24"/>
      <c r="ED19" s="24" t="str">
        <f t="shared" si="89"/>
        <v>0</v>
      </c>
      <c r="EE19" s="24"/>
      <c r="EF19" s="24" t="str">
        <f t="shared" si="90"/>
        <v>0</v>
      </c>
      <c r="EG19" s="24"/>
      <c r="EH19" s="24" t="str">
        <f t="shared" si="91"/>
        <v>0</v>
      </c>
      <c r="EI19" s="24"/>
      <c r="EJ19" s="24" t="str">
        <f t="shared" si="92"/>
        <v>0</v>
      </c>
      <c r="EK19" s="25">
        <f t="shared" si="93"/>
        <v>900000</v>
      </c>
      <c r="EM19" s="19"/>
      <c r="EN19" s="2" t="s">
        <v>54</v>
      </c>
      <c r="EO19" s="2">
        <v>30.0</v>
      </c>
      <c r="EP19" s="9">
        <f>ER12</f>
        <v>300000</v>
      </c>
      <c r="EQ19" s="9">
        <f t="shared" si="94"/>
        <v>9000000</v>
      </c>
      <c r="ER19" s="24"/>
      <c r="ES19" s="24" t="str">
        <f t="shared" si="95"/>
        <v>0</v>
      </c>
      <c r="ET19" s="24"/>
      <c r="EU19" s="24" t="str">
        <f t="shared" si="96"/>
        <v>0</v>
      </c>
      <c r="EV19" s="24"/>
      <c r="EW19" s="24" t="str">
        <f t="shared" si="97"/>
        <v>0</v>
      </c>
      <c r="EX19" s="24"/>
      <c r="EY19" s="24" t="str">
        <f t="shared" si="98"/>
        <v>0</v>
      </c>
      <c r="EZ19" s="24"/>
      <c r="FA19" s="24" t="str">
        <f t="shared" si="99"/>
        <v>0</v>
      </c>
      <c r="FB19" s="25">
        <f t="shared" si="100"/>
        <v>9000000</v>
      </c>
      <c r="FD19" s="19"/>
      <c r="FE19" s="2" t="s">
        <v>29</v>
      </c>
      <c r="FF19" s="2">
        <v>5.0</v>
      </c>
      <c r="FG19" s="9">
        <f>FI12</f>
        <v>300000</v>
      </c>
      <c r="FH19" s="9">
        <f t="shared" si="101"/>
        <v>1500000</v>
      </c>
      <c r="FI19" s="24"/>
      <c r="FJ19" s="24" t="str">
        <f t="shared" si="102"/>
        <v>0</v>
      </c>
      <c r="FK19" s="24"/>
      <c r="FL19" s="24" t="str">
        <f t="shared" si="103"/>
        <v>0</v>
      </c>
      <c r="FM19" s="24"/>
      <c r="FN19" s="24" t="str">
        <f t="shared" si="104"/>
        <v>0</v>
      </c>
      <c r="FO19" s="24"/>
      <c r="FP19" s="24" t="str">
        <f t="shared" si="105"/>
        <v>0</v>
      </c>
      <c r="FQ19" s="24"/>
      <c r="FR19" s="24" t="str">
        <f t="shared" si="106"/>
        <v>0</v>
      </c>
      <c r="FS19" s="25">
        <f t="shared" si="107"/>
        <v>1500000</v>
      </c>
      <c r="FU19" s="19"/>
      <c r="FV19" s="9"/>
      <c r="FW19" s="9"/>
      <c r="FX19" s="9"/>
      <c r="FY19" s="9"/>
      <c r="FZ19" s="9"/>
      <c r="GA19" s="9"/>
    </row>
    <row r="20">
      <c r="H20" s="9"/>
      <c r="M20" s="20"/>
      <c r="T20" s="9"/>
      <c r="Y20" s="20"/>
      <c r="AB20" s="26"/>
      <c r="AC20" s="26"/>
      <c r="AD20" s="26"/>
      <c r="AE20" s="26"/>
      <c r="AF20" s="26"/>
      <c r="AG20" s="24"/>
      <c r="AH20" s="26"/>
      <c r="AI20" s="27"/>
      <c r="AJ20" s="27"/>
      <c r="AK20" s="26"/>
      <c r="AL20" s="26"/>
      <c r="AO20" s="4"/>
      <c r="AS20" s="26"/>
      <c r="AT20" s="26"/>
      <c r="AU20" s="26"/>
      <c r="AV20" s="26"/>
      <c r="AW20" s="26"/>
      <c r="AX20" s="26"/>
      <c r="AY20" s="26"/>
      <c r="AZ20" s="27"/>
      <c r="BA20" s="27"/>
      <c r="BB20" s="26"/>
      <c r="BC20" s="26"/>
      <c r="BF20" s="4"/>
      <c r="BG20" s="20"/>
      <c r="BJ20" s="26"/>
      <c r="BK20" s="26"/>
      <c r="BL20" s="26"/>
      <c r="BM20" s="26"/>
      <c r="BN20" s="26"/>
      <c r="BO20" s="26"/>
      <c r="BP20" s="26"/>
      <c r="BQ20" s="27"/>
      <c r="BR20" s="27"/>
      <c r="BS20" s="26"/>
      <c r="BT20" s="26"/>
      <c r="BW20" s="4"/>
      <c r="BX20" s="20"/>
      <c r="CA20" s="26"/>
      <c r="CB20" s="26"/>
      <c r="CC20" s="26"/>
      <c r="CD20" s="26"/>
      <c r="CE20" s="26"/>
      <c r="CF20" s="26"/>
      <c r="CG20" s="26"/>
      <c r="CH20" s="27"/>
      <c r="CI20" s="27"/>
      <c r="CJ20" s="26"/>
      <c r="CK20" s="26"/>
      <c r="CN20" s="4"/>
      <c r="CO20" s="20"/>
      <c r="CR20" s="26"/>
      <c r="CS20" s="26"/>
      <c r="CT20" s="26"/>
      <c r="CU20" s="26"/>
      <c r="CV20" s="26"/>
      <c r="CW20" s="26"/>
      <c r="CX20" s="26"/>
      <c r="CY20" s="27"/>
      <c r="CZ20" s="27"/>
      <c r="DA20" s="26"/>
      <c r="DB20" s="26"/>
      <c r="DE20" s="4"/>
      <c r="DF20" s="20"/>
      <c r="DI20" s="26"/>
      <c r="DJ20" s="26"/>
      <c r="DK20" s="26"/>
      <c r="DL20" s="26"/>
      <c r="DM20" s="26"/>
      <c r="DN20" s="26"/>
      <c r="DO20" s="26"/>
      <c r="DP20" s="27"/>
      <c r="DQ20" s="27"/>
      <c r="DR20" s="26"/>
      <c r="DS20" s="26"/>
      <c r="DV20" s="4"/>
      <c r="DW20" s="2" t="s">
        <v>56</v>
      </c>
      <c r="DX20" s="2">
        <v>1.0</v>
      </c>
      <c r="DY20" s="9">
        <v>180000.0</v>
      </c>
      <c r="DZ20" s="9">
        <f t="shared" si="87"/>
        <v>180000</v>
      </c>
      <c r="EA20" s="24"/>
      <c r="EB20" s="24" t="str">
        <f t="shared" si="88"/>
        <v>0</v>
      </c>
      <c r="EC20" s="24"/>
      <c r="ED20" s="24" t="str">
        <f t="shared" si="89"/>
        <v>0</v>
      </c>
      <c r="EE20" s="24"/>
      <c r="EF20" s="24" t="str">
        <f t="shared" si="90"/>
        <v>0</v>
      </c>
      <c r="EG20" s="24"/>
      <c r="EH20" s="24" t="str">
        <f t="shared" si="91"/>
        <v>0</v>
      </c>
      <c r="EI20" s="24"/>
      <c r="EJ20" s="24" t="str">
        <f t="shared" si="92"/>
        <v>0</v>
      </c>
      <c r="EK20" s="25">
        <f t="shared" si="93"/>
        <v>180000</v>
      </c>
      <c r="EM20" s="4"/>
      <c r="EN20" s="2" t="s">
        <v>55</v>
      </c>
      <c r="EO20" s="2">
        <v>20.0</v>
      </c>
      <c r="EP20" s="9">
        <v>180000.0</v>
      </c>
      <c r="EQ20" s="9">
        <f t="shared" si="94"/>
        <v>3600000</v>
      </c>
      <c r="ER20" s="24"/>
      <c r="ES20" s="24" t="str">
        <f t="shared" si="95"/>
        <v>0</v>
      </c>
      <c r="ET20" s="24"/>
      <c r="EU20" s="24" t="str">
        <f t="shared" si="96"/>
        <v>0</v>
      </c>
      <c r="EV20" s="24"/>
      <c r="EW20" s="24" t="str">
        <f t="shared" si="97"/>
        <v>0</v>
      </c>
      <c r="EX20" s="24"/>
      <c r="EY20" s="24" t="str">
        <f t="shared" si="98"/>
        <v>0</v>
      </c>
      <c r="EZ20" s="24"/>
      <c r="FA20" s="24" t="str">
        <f t="shared" si="99"/>
        <v>0</v>
      </c>
      <c r="FB20" s="25">
        <f t="shared" si="100"/>
        <v>3600000</v>
      </c>
      <c r="FD20" s="4"/>
      <c r="FE20" s="2" t="s">
        <v>54</v>
      </c>
      <c r="FF20" s="2">
        <v>5.0</v>
      </c>
      <c r="FG20" s="9">
        <v>180000.0</v>
      </c>
      <c r="FH20" s="9">
        <f t="shared" si="101"/>
        <v>900000</v>
      </c>
      <c r="FI20" s="24"/>
      <c r="FJ20" s="24" t="str">
        <f t="shared" si="102"/>
        <v>0</v>
      </c>
      <c r="FK20" s="24"/>
      <c r="FL20" s="24" t="str">
        <f t="shared" si="103"/>
        <v>0</v>
      </c>
      <c r="FM20" s="24"/>
      <c r="FN20" s="24" t="str">
        <f t="shared" si="104"/>
        <v>0</v>
      </c>
      <c r="FO20" s="24"/>
      <c r="FP20" s="24" t="str">
        <f t="shared" si="105"/>
        <v>0</v>
      </c>
      <c r="FQ20" s="24"/>
      <c r="FR20" s="24" t="str">
        <f t="shared" si="106"/>
        <v>0</v>
      </c>
      <c r="FS20" s="25">
        <f t="shared" si="107"/>
        <v>900000</v>
      </c>
      <c r="FU20" s="4"/>
    </row>
    <row r="21">
      <c r="H21" s="9"/>
      <c r="J21" s="2" t="s">
        <v>57</v>
      </c>
      <c r="K21" s="25">
        <f>SUM(D17:D19)</f>
        <v>21000000</v>
      </c>
      <c r="M21" s="20"/>
      <c r="T21" s="9"/>
      <c r="V21" s="2" t="s">
        <v>57</v>
      </c>
      <c r="W21" s="25">
        <f>SUM(P17:P19)</f>
        <v>2040000</v>
      </c>
      <c r="Y21" s="20"/>
      <c r="AI21" s="9"/>
      <c r="AJ21" s="9"/>
      <c r="AM21" s="2" t="s">
        <v>57</v>
      </c>
      <c r="AN21" s="25">
        <f>SUM(AB17:AB19)</f>
        <v>12600000</v>
      </c>
      <c r="AO21" s="4"/>
      <c r="AZ21" s="9"/>
      <c r="BA21" s="9"/>
      <c r="BD21" s="2" t="s">
        <v>57</v>
      </c>
      <c r="BE21" s="25">
        <f>SUM(AS17:AS19)</f>
        <v>30000000</v>
      </c>
      <c r="BF21" s="4"/>
      <c r="BG21" s="20"/>
      <c r="BQ21" s="9"/>
      <c r="BR21" s="9"/>
      <c r="BU21" s="2" t="s">
        <v>57</v>
      </c>
      <c r="BV21" s="25">
        <f>SUM(BJ17:BJ19)</f>
        <v>24000000</v>
      </c>
      <c r="BW21" s="4"/>
      <c r="BX21" s="20"/>
      <c r="CH21" s="9"/>
      <c r="CI21" s="9"/>
      <c r="CL21" s="2" t="s">
        <v>57</v>
      </c>
      <c r="CM21" s="25">
        <f>SUM(CA17:CA19)</f>
        <v>9500000</v>
      </c>
      <c r="CN21" s="4"/>
      <c r="CO21" s="20"/>
      <c r="CY21" s="9"/>
      <c r="CZ21" s="9"/>
      <c r="DC21" s="2" t="s">
        <v>57</v>
      </c>
      <c r="DD21" s="25">
        <f>SUM(CR17:CR19)</f>
        <v>24000000</v>
      </c>
      <c r="DE21" s="4"/>
      <c r="DF21" s="20"/>
      <c r="DP21" s="9"/>
      <c r="DQ21" s="9"/>
      <c r="DT21" s="2" t="s">
        <v>57</v>
      </c>
      <c r="DU21" s="25">
        <f>SUM(DI17:DI19)</f>
        <v>24000000</v>
      </c>
      <c r="DV21" s="4"/>
      <c r="EG21" s="9"/>
      <c r="EH21" s="9"/>
      <c r="EM21" s="4"/>
      <c r="EX21" s="9"/>
      <c r="EY21" s="9"/>
      <c r="FD21" s="4"/>
      <c r="FO21" s="9"/>
      <c r="FP21" s="9"/>
      <c r="FU21" s="4"/>
    </row>
    <row r="22">
      <c r="H22" s="9"/>
      <c r="J22" s="2" t="s">
        <v>58</v>
      </c>
      <c r="K22" s="25">
        <f>SUM(E17:I19)</f>
        <v>2500000</v>
      </c>
      <c r="M22" s="20"/>
      <c r="T22" s="9"/>
      <c r="V22" s="2" t="s">
        <v>58</v>
      </c>
      <c r="W22" s="25">
        <f>SUM(Q17:U19)</f>
        <v>0</v>
      </c>
      <c r="Y22" s="20"/>
      <c r="AC22" s="26"/>
      <c r="AI22" s="9"/>
      <c r="AJ22" s="9"/>
      <c r="AM22" s="2" t="s">
        <v>58</v>
      </c>
      <c r="AN22" s="25">
        <f>(SUM(SUM(AD17:AD19),(AF17:AF19),(AH17:AH19),(AJ17:AJ19),(AL17:AL19)))</f>
        <v>630000</v>
      </c>
      <c r="AO22" s="4"/>
      <c r="AT22" s="26"/>
      <c r="AZ22" s="9"/>
      <c r="BA22" s="9"/>
      <c r="BD22" s="2" t="s">
        <v>58</v>
      </c>
      <c r="BE22" s="25">
        <f>(SUM(SUM(AU17:AU19),(AW17:AW19),(AY17:AY19),(BA17:BA19),(BC17:BC19)))</f>
        <v>0</v>
      </c>
      <c r="BF22" s="4"/>
      <c r="BG22" s="20"/>
      <c r="BK22" s="26"/>
      <c r="BQ22" s="9"/>
      <c r="BR22" s="9"/>
      <c r="BU22" s="2" t="s">
        <v>58</v>
      </c>
      <c r="BV22" s="25">
        <f>(SUM(SUM(BL17:BL19),(BN17:BN19),(BP17:BP19),(BR17:BR19),(BT17:BT19)))</f>
        <v>2750000</v>
      </c>
      <c r="BW22" s="4"/>
      <c r="BX22" s="20"/>
      <c r="CB22" s="26"/>
      <c r="CH22" s="9"/>
      <c r="CI22" s="9"/>
      <c r="CL22" s="2" t="s">
        <v>58</v>
      </c>
      <c r="CM22" s="25">
        <f>(SUM(SUM(CC17:CC19),(CE17:CE19),(CG17:CG19),(CI17:CI19),(CK17:CK19)))</f>
        <v>0</v>
      </c>
      <c r="CN22" s="4"/>
      <c r="CO22" s="20"/>
      <c r="CS22" s="26"/>
      <c r="CY22" s="9"/>
      <c r="CZ22" s="9"/>
      <c r="DC22" s="2" t="s">
        <v>58</v>
      </c>
      <c r="DD22" s="25">
        <f>(SUM(SUM(CT17:CT19),(CV17:CV19),(CX17:CX19),(CZ17:CZ19),(DB17:DB19)))</f>
        <v>2750000</v>
      </c>
      <c r="DE22" s="4"/>
      <c r="DF22" s="20"/>
      <c r="DJ22" s="26"/>
      <c r="DP22" s="9"/>
      <c r="DQ22" s="9"/>
      <c r="DT22" s="2" t="s">
        <v>58</v>
      </c>
      <c r="DU22" s="25">
        <f>(SUM(SUM(DK17:DK19),(DM17:DM19),(DO17:DO19),(DQ17:DQ19),(DS17:DS19)))</f>
        <v>0</v>
      </c>
      <c r="DV22" s="4"/>
      <c r="DW22" s="2" t="s">
        <v>59</v>
      </c>
      <c r="EB22" s="2"/>
      <c r="ED22" s="9"/>
      <c r="EG22" s="9"/>
      <c r="EH22" s="9"/>
      <c r="EK22" s="2" t="s">
        <v>57</v>
      </c>
      <c r="EL22" s="25">
        <f>SUM(DZ18:DZ20)</f>
        <v>5080000</v>
      </c>
      <c r="EM22" s="4"/>
      <c r="EN22" s="2" t="s">
        <v>60</v>
      </c>
      <c r="ES22" s="2"/>
      <c r="EU22" s="9"/>
      <c r="EX22" s="9"/>
      <c r="EY22" s="9"/>
      <c r="FB22" s="2" t="s">
        <v>57</v>
      </c>
      <c r="FC22" s="25">
        <f>SUM(EQ18:EQ20)</f>
        <v>18600000</v>
      </c>
      <c r="FD22" s="4"/>
      <c r="FE22" s="2" t="s">
        <v>61</v>
      </c>
      <c r="FJ22" s="2"/>
      <c r="FL22" s="9"/>
      <c r="FO22" s="9"/>
      <c r="FP22" s="9"/>
      <c r="FS22" s="2" t="s">
        <v>57</v>
      </c>
      <c r="FT22" s="25">
        <f>SUM(FH18:FH20)</f>
        <v>6400000</v>
      </c>
      <c r="FU22" s="4"/>
    </row>
    <row r="23">
      <c r="H23" s="9"/>
      <c r="J23" s="2" t="s">
        <v>62</v>
      </c>
      <c r="K23" s="25">
        <f>(J17*0.11)+(J18*0.11)+(J19*0.11)</f>
        <v>2035000</v>
      </c>
      <c r="M23" s="20"/>
      <c r="T23" s="9"/>
      <c r="V23" s="2" t="s">
        <v>62</v>
      </c>
      <c r="W23" s="25">
        <f>(V17*0.11)+(V18*0.11)+(V19*0.11)</f>
        <v>224400</v>
      </c>
      <c r="Y23" s="20"/>
      <c r="AI23" s="9"/>
      <c r="AJ23" s="9"/>
      <c r="AM23" s="2" t="s">
        <v>62</v>
      </c>
      <c r="AN23" s="25">
        <f>(AM17*0.11)+(AM18*0.11)+(AM19*0.11)</f>
        <v>1316700</v>
      </c>
      <c r="AO23" s="4"/>
      <c r="AZ23" s="9"/>
      <c r="BA23" s="9"/>
      <c r="BD23" s="2" t="s">
        <v>62</v>
      </c>
      <c r="BE23" s="25">
        <f>(BD17*0.11)+(BD18*0.11)+(BD19*0.11)</f>
        <v>3300000</v>
      </c>
      <c r="BF23" s="4"/>
      <c r="BG23" s="20"/>
      <c r="BQ23" s="9"/>
      <c r="BR23" s="9"/>
      <c r="BU23" s="2" t="s">
        <v>62</v>
      </c>
      <c r="BV23" s="25">
        <f>(BU17*0.11)+(BU18*0.11)+(BU19*0.11)</f>
        <v>2337500</v>
      </c>
      <c r="BW23" s="4"/>
      <c r="BX23" s="20"/>
      <c r="CH23" s="9"/>
      <c r="CI23" s="9"/>
      <c r="CL23" s="2" t="s">
        <v>62</v>
      </c>
      <c r="CM23" s="25">
        <f>(CL17*0.11)+(CL18*0.11)+(CL19*0.11)</f>
        <v>1045000</v>
      </c>
      <c r="CN23" s="4"/>
      <c r="CO23" s="20"/>
      <c r="CY23" s="9"/>
      <c r="CZ23" s="9"/>
      <c r="DC23" s="2" t="s">
        <v>62</v>
      </c>
      <c r="DD23" s="25">
        <f>(DC17*0.11)+(DC18*0.11)+(DC19*0.11)</f>
        <v>2337500</v>
      </c>
      <c r="DE23" s="4"/>
      <c r="DF23" s="20"/>
      <c r="DP23" s="9"/>
      <c r="DQ23" s="9"/>
      <c r="DT23" s="2" t="s">
        <v>62</v>
      </c>
      <c r="DU23" s="25">
        <f>(DT17*0.11)+(DT18*0.11)+(DT19*0.11)</f>
        <v>2640000</v>
      </c>
      <c r="DV23" s="4"/>
      <c r="EB23" s="2"/>
      <c r="ED23" s="9"/>
      <c r="EG23" s="9"/>
      <c r="EH23" s="9"/>
      <c r="EK23" s="2" t="s">
        <v>58</v>
      </c>
      <c r="EL23" s="25">
        <f>(SUM(SUM(EB18:EB20),(ED18:ED20),(EF18:EF20),(EH18:EH20),(EJ18:EJ20)))</f>
        <v>0</v>
      </c>
      <c r="EM23" s="4"/>
      <c r="ES23" s="2"/>
      <c r="EU23" s="9"/>
      <c r="EX23" s="9"/>
      <c r="EY23" s="9"/>
      <c r="FB23" s="2" t="s">
        <v>58</v>
      </c>
      <c r="FC23" s="25">
        <f>(SUM(SUM(ES18:ES20),(EU18:EU20),(EW18:EW20),(EY18:EY20),(FA18:FA20)))</f>
        <v>0</v>
      </c>
      <c r="FD23" s="4"/>
      <c r="FJ23" s="2"/>
      <c r="FL23" s="9"/>
      <c r="FO23" s="9"/>
      <c r="FP23" s="9"/>
      <c r="FS23" s="2" t="s">
        <v>58</v>
      </c>
      <c r="FT23" s="25">
        <f>(SUM(SUM(FJ18:FJ20),(FL18:FL20),(FN18:FN20),(FP18:FP20),(FR18:FR20)))</f>
        <v>0</v>
      </c>
      <c r="FU23" s="4"/>
    </row>
    <row r="24">
      <c r="J24" s="2" t="s">
        <v>63</v>
      </c>
      <c r="K24" s="25">
        <f>K21-K22+K23</f>
        <v>20535000</v>
      </c>
      <c r="M24" s="20"/>
      <c r="V24" s="2" t="s">
        <v>63</v>
      </c>
      <c r="W24" s="25">
        <f>W21-W22+W23</f>
        <v>2264400</v>
      </c>
      <c r="Y24" s="20"/>
      <c r="AM24" s="2" t="s">
        <v>63</v>
      </c>
      <c r="AN24" s="25">
        <f>AN21-AN22+AN23</f>
        <v>13286700</v>
      </c>
      <c r="AO24" s="4"/>
      <c r="BD24" s="2" t="s">
        <v>63</v>
      </c>
      <c r="BE24" s="25">
        <f>BE21-BE22+BE23</f>
        <v>33300000</v>
      </c>
      <c r="BF24" s="4"/>
      <c r="BG24" s="20"/>
      <c r="BU24" s="2" t="s">
        <v>63</v>
      </c>
      <c r="BV24" s="25">
        <f>BV21-BV22+BV23</f>
        <v>23587500</v>
      </c>
      <c r="BW24" s="4"/>
      <c r="BX24" s="20"/>
      <c r="CL24" s="2" t="s">
        <v>63</v>
      </c>
      <c r="CM24" s="25">
        <f>CM21-CM22+CM23</f>
        <v>10545000</v>
      </c>
      <c r="CN24" s="4"/>
      <c r="CO24" s="20"/>
      <c r="DC24" s="2" t="s">
        <v>63</v>
      </c>
      <c r="DD24" s="25">
        <f>DD21-DD22+DD23</f>
        <v>23587500</v>
      </c>
      <c r="DE24" s="4"/>
      <c r="DF24" s="20"/>
      <c r="DT24" s="2" t="s">
        <v>63</v>
      </c>
      <c r="DU24" s="25">
        <f>DU21-DU22+DU23</f>
        <v>26640000</v>
      </c>
      <c r="DV24" s="4"/>
      <c r="DW24" s="20"/>
      <c r="EK24" s="2" t="s">
        <v>62</v>
      </c>
      <c r="EL24" s="25">
        <f>(EK18*0.11)+(EK19*0.11)+(EK20*0.11)</f>
        <v>558800</v>
      </c>
      <c r="EM24" s="4"/>
      <c r="EN24" s="20"/>
      <c r="FB24" s="2" t="s">
        <v>62</v>
      </c>
      <c r="FC24" s="25">
        <f>(FB18*0.11)+(FB19*0.11)+(FB20*0.11)</f>
        <v>2046000</v>
      </c>
      <c r="FD24" s="4"/>
      <c r="FE24" s="20"/>
      <c r="FS24" s="2" t="s">
        <v>62</v>
      </c>
      <c r="FT24" s="25">
        <f>(FS18*0.11)+(FS19*0.11)+(FS20*0.11)</f>
        <v>704000</v>
      </c>
      <c r="FU24" s="4"/>
    </row>
    <row r="25">
      <c r="H25" s="9"/>
      <c r="I25" s="28"/>
      <c r="J25" s="29"/>
      <c r="M25" s="20"/>
      <c r="R25" s="28"/>
      <c r="T25" s="9"/>
      <c r="V25" s="2"/>
      <c r="Y25" s="20"/>
      <c r="AA25" s="28"/>
      <c r="AE25" s="28"/>
      <c r="AI25" s="9"/>
      <c r="AJ25" s="9"/>
      <c r="AM25" s="2"/>
      <c r="AN25" s="28"/>
      <c r="AO25" s="30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31"/>
      <c r="BA25" s="31"/>
      <c r="BB25" s="28"/>
      <c r="BC25" s="28"/>
      <c r="BD25" s="29"/>
      <c r="BE25" s="28"/>
      <c r="BF25" s="30"/>
      <c r="BG25" s="32"/>
      <c r="BH25" s="28"/>
      <c r="BI25" s="28"/>
      <c r="BJ25" s="28"/>
      <c r="BK25" s="28"/>
      <c r="BL25" s="28"/>
      <c r="BM25" s="28"/>
      <c r="BN25" s="28"/>
      <c r="BO25" s="28"/>
      <c r="BP25" s="28"/>
      <c r="BQ25" s="31"/>
      <c r="BR25" s="31"/>
      <c r="BS25" s="28"/>
      <c r="BT25" s="28"/>
      <c r="BU25" s="29"/>
      <c r="BV25" s="28"/>
      <c r="BW25" s="30"/>
      <c r="BX25" s="32"/>
      <c r="BY25" s="28"/>
      <c r="BZ25" s="28"/>
      <c r="CA25" s="28"/>
      <c r="CB25" s="28"/>
      <c r="CC25" s="28"/>
      <c r="CD25" s="28"/>
      <c r="CE25" s="28"/>
      <c r="CF25" s="28"/>
      <c r="CG25" s="28"/>
      <c r="CH25" s="31"/>
      <c r="CI25" s="31"/>
      <c r="CJ25" s="28"/>
      <c r="CK25" s="28"/>
      <c r="CL25" s="29"/>
      <c r="CM25" s="28"/>
      <c r="CN25" s="30"/>
      <c r="CO25" s="32"/>
      <c r="CP25" s="28"/>
      <c r="CQ25" s="28"/>
      <c r="CR25" s="28"/>
      <c r="CS25" s="28"/>
      <c r="CT25" s="28"/>
      <c r="CU25" s="28"/>
      <c r="CV25" s="28"/>
      <c r="CW25" s="28"/>
      <c r="CX25" s="28"/>
      <c r="CY25" s="31"/>
      <c r="CZ25" s="31"/>
      <c r="DA25" s="28"/>
      <c r="DB25" s="28"/>
      <c r="DC25" s="29"/>
      <c r="DD25" s="28"/>
      <c r="DE25" s="30"/>
      <c r="DF25" s="32"/>
      <c r="DG25" s="28"/>
      <c r="DH25" s="28"/>
      <c r="DI25" s="28"/>
      <c r="DJ25" s="28"/>
      <c r="DK25" s="28"/>
      <c r="DL25" s="28"/>
      <c r="DM25" s="28"/>
      <c r="DN25" s="28"/>
      <c r="DO25" s="28"/>
      <c r="DP25" s="31"/>
      <c r="DQ25" s="31"/>
      <c r="DR25" s="28"/>
      <c r="DS25" s="28"/>
      <c r="DT25" s="29"/>
      <c r="DU25" s="28"/>
      <c r="DV25" s="30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9" t="s">
        <v>63</v>
      </c>
      <c r="EL25" s="33">
        <f>EL22-EL23+EL24</f>
        <v>5638800</v>
      </c>
      <c r="EM25" s="30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9" t="s">
        <v>63</v>
      </c>
      <c r="FC25" s="33">
        <f>FC22-FC23+FC24</f>
        <v>20646000</v>
      </c>
      <c r="FD25" s="30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  <c r="FS25" s="29" t="s">
        <v>63</v>
      </c>
      <c r="FT25" s="33">
        <f>FT22-FT23+FT24</f>
        <v>7104000</v>
      </c>
      <c r="FU25" s="30"/>
    </row>
    <row r="26">
      <c r="A26" s="34"/>
      <c r="B26" s="34"/>
      <c r="C26" s="34"/>
      <c r="D26" s="34"/>
      <c r="E26" s="34"/>
      <c r="F26" s="34"/>
      <c r="G26" s="34"/>
      <c r="H26" s="34"/>
      <c r="J26" s="34"/>
      <c r="K26" s="34"/>
      <c r="L26" s="34"/>
      <c r="M26" s="34"/>
      <c r="N26" s="34"/>
      <c r="O26" s="34"/>
      <c r="P26" s="34"/>
      <c r="Q26" s="34"/>
      <c r="S26" s="34"/>
      <c r="T26" s="34"/>
      <c r="U26" s="34"/>
      <c r="V26" s="34"/>
      <c r="W26" s="34"/>
      <c r="X26" s="34"/>
      <c r="Y26" s="34"/>
      <c r="Z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9" max="9" width="8.75"/>
    <col customWidth="1" min="10" max="10" width="11.0"/>
    <col customWidth="1" min="11" max="11" width="13.13"/>
    <col customWidth="1" min="12" max="12" width="10.88"/>
    <col customWidth="1" min="13" max="13" width="12.13"/>
    <col customWidth="1" min="14" max="14" width="11.75"/>
    <col customWidth="1" min="15" max="15" width="8.75"/>
    <col customWidth="1" min="16" max="16" width="11.0"/>
    <col customWidth="1" min="17" max="18" width="8.75"/>
    <col customWidth="1" min="19" max="19" width="7.25"/>
    <col customWidth="1" min="26" max="26" width="14.5"/>
    <col customWidth="1" min="27" max="27" width="11.63"/>
    <col customWidth="1" min="28" max="28" width="12.75"/>
    <col customWidth="1" min="41" max="41" width="9.0"/>
    <col customWidth="1" min="42" max="42" width="18.25"/>
    <col customWidth="1" min="43" max="43" width="9.5"/>
    <col customWidth="1" min="44" max="44" width="10.25"/>
    <col customWidth="1" min="45" max="45" width="11.75"/>
    <col customWidth="1" min="46" max="46" width="13.13"/>
    <col customWidth="1" min="47" max="47" width="9.0"/>
    <col customWidth="1" min="48" max="48" width="13.13"/>
    <col customWidth="1" min="49" max="49" width="14.75"/>
    <col customWidth="1" min="50" max="50" width="13.13"/>
    <col customWidth="1" min="51" max="51" width="8.5"/>
    <col customWidth="1" min="52" max="52" width="13.13"/>
    <col customWidth="1" min="60" max="60" width="14.5"/>
  </cols>
  <sheetData>
    <row r="1">
      <c r="A1" s="1" t="s">
        <v>0</v>
      </c>
      <c r="B1" s="2" t="s">
        <v>65</v>
      </c>
      <c r="J1" s="1"/>
      <c r="M1" s="3" t="s">
        <v>66</v>
      </c>
      <c r="N1" s="2" t="s">
        <v>67</v>
      </c>
      <c r="V1" s="1"/>
      <c r="Y1" s="3" t="s">
        <v>0</v>
      </c>
      <c r="Z1" s="2" t="s">
        <v>68</v>
      </c>
      <c r="AH1" s="1"/>
      <c r="AK1" s="3" t="s">
        <v>2</v>
      </c>
      <c r="AL1" s="2" t="s">
        <v>69</v>
      </c>
      <c r="AT1" s="1"/>
      <c r="AW1" s="3" t="s">
        <v>2</v>
      </c>
      <c r="AX1" s="2" t="s">
        <v>70</v>
      </c>
      <c r="BF1" s="1"/>
      <c r="BI1" s="3" t="s">
        <v>71</v>
      </c>
      <c r="BJ1" s="2" t="s">
        <v>72</v>
      </c>
      <c r="BR1" s="1"/>
      <c r="BT1" s="4"/>
      <c r="BU1" s="1"/>
      <c r="BX1" s="1"/>
      <c r="CL1" s="1"/>
      <c r="CO1" s="1"/>
      <c r="DC1" s="1"/>
      <c r="DF1" s="1"/>
      <c r="DT1" s="1"/>
      <c r="DW1" s="1"/>
      <c r="EN1" s="1"/>
      <c r="FE1" s="1"/>
    </row>
    <row r="2">
      <c r="A2" s="1" t="s">
        <v>13</v>
      </c>
      <c r="E2" s="1" t="s">
        <v>14</v>
      </c>
      <c r="J2" s="1"/>
      <c r="M2" s="3" t="s">
        <v>13</v>
      </c>
      <c r="Q2" s="1" t="s">
        <v>14</v>
      </c>
      <c r="V2" s="1"/>
      <c r="Y2" s="3" t="s">
        <v>13</v>
      </c>
      <c r="AC2" s="1" t="s">
        <v>14</v>
      </c>
      <c r="AH2" s="1"/>
      <c r="AK2" s="3" t="s">
        <v>13</v>
      </c>
      <c r="AO2" s="1" t="s">
        <v>14</v>
      </c>
      <c r="AT2" s="1"/>
      <c r="AW2" s="3" t="s">
        <v>13</v>
      </c>
      <c r="BA2" s="1" t="s">
        <v>14</v>
      </c>
      <c r="BF2" s="1"/>
      <c r="BI2" s="3" t="s">
        <v>13</v>
      </c>
      <c r="BM2" s="1" t="s">
        <v>14</v>
      </c>
      <c r="BR2" s="1"/>
      <c r="BT2" s="4"/>
      <c r="BU2" s="1"/>
      <c r="BX2" s="1"/>
      <c r="CB2" s="1"/>
      <c r="CL2" s="1"/>
      <c r="CO2" s="1"/>
      <c r="CS2" s="1"/>
      <c r="DC2" s="1"/>
      <c r="DF2" s="1"/>
      <c r="DJ2" s="1"/>
      <c r="DT2" s="1"/>
      <c r="DW2" s="1"/>
      <c r="EA2" s="1"/>
      <c r="EN2" s="1"/>
      <c r="ER2" s="1"/>
      <c r="FE2" s="1"/>
      <c r="FI2" s="1"/>
    </row>
    <row r="3">
      <c r="A3" s="5" t="s">
        <v>15</v>
      </c>
      <c r="B3" s="5">
        <v>10.0</v>
      </c>
      <c r="C3" s="5">
        <v>20.0</v>
      </c>
      <c r="D3" s="5"/>
      <c r="E3" s="5">
        <v>1.0</v>
      </c>
      <c r="F3" s="7"/>
      <c r="G3" s="5"/>
      <c r="H3" s="8"/>
      <c r="J3" s="9"/>
      <c r="K3" s="9"/>
      <c r="L3" s="10"/>
      <c r="M3" s="11" t="s">
        <v>15</v>
      </c>
      <c r="N3" s="5">
        <v>10.0</v>
      </c>
      <c r="O3" s="5">
        <v>20.0</v>
      </c>
      <c r="P3" s="5"/>
      <c r="Q3" s="5">
        <v>1.0</v>
      </c>
      <c r="R3" s="7"/>
      <c r="S3" s="5"/>
      <c r="T3" s="8"/>
      <c r="V3" s="9"/>
      <c r="W3" s="9"/>
      <c r="X3" s="10"/>
      <c r="Y3" s="11" t="s">
        <v>15</v>
      </c>
      <c r="Z3" s="5">
        <v>10.0</v>
      </c>
      <c r="AA3" s="5">
        <v>20.0</v>
      </c>
      <c r="AB3" s="5"/>
      <c r="AC3" s="5">
        <v>1.0</v>
      </c>
      <c r="AD3" s="7"/>
      <c r="AE3" s="5"/>
      <c r="AF3" s="8"/>
      <c r="AH3" s="9"/>
      <c r="AI3" s="9"/>
      <c r="AJ3" s="10"/>
      <c r="AK3" s="11" t="s">
        <v>15</v>
      </c>
      <c r="AL3" s="5">
        <v>10.0</v>
      </c>
      <c r="AM3" s="5">
        <v>20.0</v>
      </c>
      <c r="AN3" s="5"/>
      <c r="AO3" s="5">
        <v>1.0</v>
      </c>
      <c r="AP3" s="7"/>
      <c r="AQ3" s="5"/>
      <c r="AR3" s="8"/>
      <c r="AT3" s="9"/>
      <c r="AU3" s="9"/>
      <c r="AV3" s="10"/>
      <c r="AW3" s="11" t="s">
        <v>15</v>
      </c>
      <c r="AX3" s="5">
        <v>10.0</v>
      </c>
      <c r="AY3" s="5">
        <v>20.0</v>
      </c>
      <c r="AZ3" s="5"/>
      <c r="BA3" s="5">
        <v>1.0</v>
      </c>
      <c r="BB3" s="7"/>
      <c r="BC3" s="5"/>
      <c r="BD3" s="8"/>
      <c r="BF3" s="9"/>
      <c r="BG3" s="9"/>
      <c r="BH3" s="10"/>
      <c r="BI3" s="11" t="s">
        <v>15</v>
      </c>
      <c r="BJ3" s="5">
        <v>10.0</v>
      </c>
      <c r="BK3" s="5">
        <v>20.0</v>
      </c>
      <c r="BL3" s="5"/>
      <c r="BM3" s="5">
        <v>1.0</v>
      </c>
      <c r="BN3" s="7"/>
      <c r="BO3" s="5"/>
      <c r="BP3" s="8"/>
      <c r="BR3" s="9"/>
      <c r="BS3" s="9"/>
      <c r="BT3" s="12"/>
      <c r="BU3" s="9"/>
      <c r="BV3" s="9"/>
      <c r="BW3" s="10"/>
      <c r="BX3" s="5"/>
      <c r="BY3" s="5"/>
      <c r="BZ3" s="5"/>
      <c r="CA3" s="5"/>
      <c r="CB3" s="5"/>
      <c r="CC3" s="7"/>
      <c r="CD3" s="7"/>
      <c r="CE3" s="8"/>
      <c r="CF3" s="8"/>
      <c r="CG3" s="8"/>
      <c r="CH3" s="8"/>
      <c r="CI3" s="8"/>
      <c r="CL3" s="9"/>
      <c r="CM3" s="9"/>
      <c r="CN3" s="10"/>
      <c r="CO3" s="5"/>
      <c r="CP3" s="5"/>
      <c r="CQ3" s="5"/>
      <c r="CR3" s="5"/>
      <c r="CS3" s="5"/>
      <c r="CT3" s="7"/>
      <c r="CU3" s="7"/>
      <c r="CV3" s="8"/>
      <c r="CW3" s="8"/>
      <c r="CX3" s="8"/>
      <c r="CY3" s="8"/>
      <c r="CZ3" s="8"/>
      <c r="DC3" s="9"/>
      <c r="DD3" s="9"/>
      <c r="DE3" s="10"/>
      <c r="DF3" s="5"/>
      <c r="DG3" s="5"/>
      <c r="DH3" s="5"/>
      <c r="DI3" s="5"/>
      <c r="DJ3" s="5"/>
      <c r="DK3" s="7"/>
      <c r="DL3" s="7"/>
      <c r="DM3" s="8"/>
      <c r="DN3" s="8"/>
      <c r="DO3" s="8"/>
      <c r="DP3" s="8"/>
      <c r="DQ3" s="8"/>
      <c r="DT3" s="9"/>
      <c r="DU3" s="9"/>
      <c r="DV3" s="10"/>
      <c r="DW3" s="5"/>
      <c r="DX3" s="5"/>
      <c r="DY3" s="5"/>
      <c r="DZ3" s="5"/>
      <c r="EA3" s="5"/>
      <c r="EB3" s="7"/>
      <c r="EC3" s="7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5"/>
      <c r="EO3" s="5"/>
      <c r="EP3" s="5"/>
      <c r="EQ3" s="5"/>
      <c r="ER3" s="6"/>
      <c r="ES3" s="7"/>
      <c r="ET3" s="7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5"/>
      <c r="FF3" s="5"/>
      <c r="FG3" s="5"/>
      <c r="FH3" s="5"/>
      <c r="FI3" s="6"/>
      <c r="FJ3" s="7"/>
      <c r="FK3" s="7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</row>
    <row r="4">
      <c r="A4" s="5" t="s">
        <v>16</v>
      </c>
      <c r="B4" s="5">
        <v>21.0</v>
      </c>
      <c r="C4" s="5">
        <v>30.0</v>
      </c>
      <c r="D4" s="13"/>
      <c r="E4" s="5">
        <v>2.0</v>
      </c>
      <c r="F4" s="13"/>
      <c r="G4" s="13"/>
      <c r="H4" s="13"/>
      <c r="J4" s="2"/>
      <c r="M4" s="11" t="s">
        <v>16</v>
      </c>
      <c r="N4" s="5">
        <v>21.0</v>
      </c>
      <c r="O4" s="5">
        <v>30.0</v>
      </c>
      <c r="P4" s="13"/>
      <c r="Q4" s="5">
        <v>2.0</v>
      </c>
      <c r="R4" s="13"/>
      <c r="S4" s="13"/>
      <c r="T4" s="13"/>
      <c r="V4" s="2"/>
      <c r="Y4" s="11" t="s">
        <v>16</v>
      </c>
      <c r="Z4" s="5">
        <v>21.0</v>
      </c>
      <c r="AA4" s="5">
        <v>30.0</v>
      </c>
      <c r="AB4" s="13"/>
      <c r="AC4" s="5">
        <v>2.0</v>
      </c>
      <c r="AD4" s="13"/>
      <c r="AE4" s="13"/>
      <c r="AF4" s="13"/>
      <c r="AH4" s="2"/>
      <c r="AK4" s="11" t="s">
        <v>16</v>
      </c>
      <c r="AL4" s="5">
        <v>21.0</v>
      </c>
      <c r="AM4" s="5">
        <v>30.0</v>
      </c>
      <c r="AN4" s="13"/>
      <c r="AO4" s="5">
        <v>2.0</v>
      </c>
      <c r="AP4" s="13"/>
      <c r="AQ4" s="13"/>
      <c r="AR4" s="13"/>
      <c r="AT4" s="2"/>
      <c r="AW4" s="11" t="s">
        <v>16</v>
      </c>
      <c r="AX4" s="5">
        <v>21.0</v>
      </c>
      <c r="AY4" s="5">
        <v>30.0</v>
      </c>
      <c r="AZ4" s="13"/>
      <c r="BA4" s="5">
        <v>2.0</v>
      </c>
      <c r="BB4" s="13"/>
      <c r="BC4" s="13"/>
      <c r="BD4" s="13"/>
      <c r="BF4" s="2"/>
      <c r="BI4" s="11" t="s">
        <v>16</v>
      </c>
      <c r="BJ4" s="5">
        <v>21.0</v>
      </c>
      <c r="BK4" s="5">
        <v>30.0</v>
      </c>
      <c r="BL4" s="13"/>
      <c r="BM4" s="5">
        <v>2.0</v>
      </c>
      <c r="BN4" s="13"/>
      <c r="BO4" s="13"/>
      <c r="BP4" s="13"/>
      <c r="BR4" s="2"/>
      <c r="BT4" s="4"/>
      <c r="BX4" s="5"/>
      <c r="BY4" s="5"/>
      <c r="BZ4" s="5"/>
      <c r="CA4" s="13"/>
      <c r="CB4" s="5"/>
      <c r="CC4" s="13"/>
      <c r="CD4" s="13"/>
      <c r="CE4" s="13"/>
      <c r="CF4" s="13"/>
      <c r="CG4" s="13"/>
      <c r="CH4" s="13"/>
      <c r="CI4" s="13"/>
      <c r="CO4" s="5"/>
      <c r="CP4" s="5"/>
      <c r="CQ4" s="5"/>
      <c r="CR4" s="13"/>
      <c r="CS4" s="5"/>
      <c r="CT4" s="13"/>
      <c r="CU4" s="13"/>
      <c r="CV4" s="13"/>
      <c r="CW4" s="13"/>
      <c r="CX4" s="13"/>
      <c r="CY4" s="13"/>
      <c r="CZ4" s="13"/>
      <c r="DF4" s="5"/>
      <c r="DG4" s="5"/>
      <c r="DH4" s="5"/>
      <c r="DI4" s="13"/>
      <c r="DJ4" s="5"/>
      <c r="DK4" s="13"/>
      <c r="DL4" s="13"/>
      <c r="DM4" s="13"/>
      <c r="DN4" s="13"/>
      <c r="DO4" s="13"/>
      <c r="DP4" s="13"/>
      <c r="DQ4" s="13"/>
      <c r="DW4" s="5"/>
      <c r="DX4" s="5"/>
      <c r="DY4" s="5"/>
      <c r="DZ4" s="13"/>
      <c r="EA4" s="5"/>
      <c r="EB4" s="13"/>
      <c r="EC4" s="13"/>
      <c r="EN4" s="5"/>
      <c r="EO4" s="5"/>
      <c r="EP4" s="5"/>
      <c r="EQ4" s="13"/>
      <c r="ER4" s="6"/>
      <c r="ES4" s="13"/>
      <c r="ET4" s="13"/>
      <c r="FE4" s="5"/>
      <c r="FF4" s="5"/>
      <c r="FG4" s="5"/>
      <c r="FH4" s="13"/>
      <c r="FI4" s="6"/>
      <c r="FJ4" s="13"/>
      <c r="FK4" s="13"/>
    </row>
    <row r="5">
      <c r="A5" s="5" t="s">
        <v>17</v>
      </c>
      <c r="B5" s="5">
        <v>31.0</v>
      </c>
      <c r="C5" s="5">
        <v>40.0</v>
      </c>
      <c r="D5" s="14"/>
      <c r="E5" s="5">
        <v>3.0</v>
      </c>
      <c r="F5" s="8"/>
      <c r="G5" s="8"/>
      <c r="H5" s="8"/>
      <c r="J5" s="9"/>
      <c r="K5" s="9"/>
      <c r="L5" s="10"/>
      <c r="M5" s="11" t="s">
        <v>17</v>
      </c>
      <c r="N5" s="5">
        <v>31.0</v>
      </c>
      <c r="O5" s="5">
        <v>40.0</v>
      </c>
      <c r="P5" s="14"/>
      <c r="Q5" s="5">
        <v>3.0</v>
      </c>
      <c r="R5" s="8"/>
      <c r="S5" s="8"/>
      <c r="T5" s="8"/>
      <c r="V5" s="9"/>
      <c r="W5" s="9"/>
      <c r="X5" s="10"/>
      <c r="Y5" s="11" t="s">
        <v>17</v>
      </c>
      <c r="Z5" s="5">
        <v>31.0</v>
      </c>
      <c r="AA5" s="5">
        <v>40.0</v>
      </c>
      <c r="AB5" s="14"/>
      <c r="AC5" s="5">
        <v>3.0</v>
      </c>
      <c r="AD5" s="8"/>
      <c r="AE5" s="8"/>
      <c r="AF5" s="8"/>
      <c r="AH5" s="9"/>
      <c r="AI5" s="9"/>
      <c r="AJ5" s="10"/>
      <c r="AK5" s="11" t="s">
        <v>17</v>
      </c>
      <c r="AL5" s="5">
        <v>31.0</v>
      </c>
      <c r="AM5" s="5">
        <v>40.0</v>
      </c>
      <c r="AN5" s="14"/>
      <c r="AO5" s="5">
        <v>3.0</v>
      </c>
      <c r="AP5" s="8"/>
      <c r="AQ5" s="8"/>
      <c r="AR5" s="8"/>
      <c r="AT5" s="9"/>
      <c r="AU5" s="9"/>
      <c r="AV5" s="10"/>
      <c r="AW5" s="11" t="s">
        <v>17</v>
      </c>
      <c r="AX5" s="5">
        <v>31.0</v>
      </c>
      <c r="AY5" s="5">
        <v>40.0</v>
      </c>
      <c r="AZ5" s="14"/>
      <c r="BA5" s="5">
        <v>3.0</v>
      </c>
      <c r="BB5" s="8"/>
      <c r="BC5" s="8"/>
      <c r="BD5" s="8"/>
      <c r="BF5" s="9"/>
      <c r="BG5" s="9"/>
      <c r="BH5" s="10"/>
      <c r="BI5" s="11" t="s">
        <v>17</v>
      </c>
      <c r="BJ5" s="5">
        <v>31.0</v>
      </c>
      <c r="BK5" s="5">
        <v>40.0</v>
      </c>
      <c r="BL5" s="14"/>
      <c r="BM5" s="5">
        <v>3.0</v>
      </c>
      <c r="BN5" s="8"/>
      <c r="BO5" s="8"/>
      <c r="BP5" s="8"/>
      <c r="BR5" s="9"/>
      <c r="BS5" s="9"/>
      <c r="BT5" s="12"/>
      <c r="BU5" s="9"/>
      <c r="BV5" s="9"/>
      <c r="BW5" s="10"/>
      <c r="BX5" s="5"/>
      <c r="BY5" s="5"/>
      <c r="BZ5" s="5"/>
      <c r="CA5" s="14"/>
      <c r="CB5" s="5"/>
      <c r="CC5" s="8"/>
      <c r="CD5" s="8"/>
      <c r="CE5" s="8"/>
      <c r="CF5" s="8"/>
      <c r="CG5" s="8"/>
      <c r="CH5" s="8"/>
      <c r="CI5" s="8"/>
      <c r="CL5" s="9"/>
      <c r="CM5" s="9"/>
      <c r="CN5" s="10"/>
      <c r="CO5" s="5"/>
      <c r="CP5" s="5"/>
      <c r="CQ5" s="5"/>
      <c r="CR5" s="14"/>
      <c r="CS5" s="5"/>
      <c r="CT5" s="8"/>
      <c r="CU5" s="8"/>
      <c r="CV5" s="8"/>
      <c r="CW5" s="8"/>
      <c r="CX5" s="8"/>
      <c r="CY5" s="8"/>
      <c r="CZ5" s="8"/>
      <c r="DC5" s="9"/>
      <c r="DD5" s="9"/>
      <c r="DE5" s="10"/>
      <c r="DF5" s="5"/>
      <c r="DG5" s="5"/>
      <c r="DH5" s="5"/>
      <c r="DI5" s="14"/>
      <c r="DJ5" s="5"/>
      <c r="DK5" s="8"/>
      <c r="DL5" s="8"/>
      <c r="DM5" s="8"/>
      <c r="DN5" s="8"/>
      <c r="DO5" s="8"/>
      <c r="DP5" s="8"/>
      <c r="DQ5" s="8"/>
      <c r="DT5" s="9"/>
      <c r="DU5" s="9"/>
      <c r="DV5" s="10"/>
      <c r="DW5" s="5"/>
      <c r="DX5" s="5"/>
      <c r="DY5" s="5"/>
      <c r="DZ5" s="14"/>
      <c r="EA5" s="5"/>
      <c r="EB5" s="8"/>
      <c r="EC5" s="8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5"/>
      <c r="EO5" s="5"/>
      <c r="EP5" s="5"/>
      <c r="EQ5" s="14"/>
      <c r="ER5" s="15"/>
      <c r="ES5" s="8"/>
      <c r="ET5" s="8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5"/>
      <c r="FF5" s="5"/>
      <c r="FG5" s="5"/>
      <c r="FH5" s="14"/>
      <c r="FI5" s="15"/>
      <c r="FJ5" s="8"/>
      <c r="FK5" s="8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</row>
    <row r="6">
      <c r="A6" s="5" t="s">
        <v>18</v>
      </c>
      <c r="B6" s="5">
        <v>41.0</v>
      </c>
      <c r="C6" s="5">
        <v>50.0</v>
      </c>
      <c r="D6" s="13"/>
      <c r="E6" s="5">
        <v>4.0</v>
      </c>
      <c r="F6" s="13"/>
      <c r="G6" s="13"/>
      <c r="H6" s="13"/>
      <c r="J6" s="2"/>
      <c r="M6" s="11" t="s">
        <v>18</v>
      </c>
      <c r="N6" s="5">
        <v>41.0</v>
      </c>
      <c r="O6" s="5">
        <v>50.0</v>
      </c>
      <c r="P6" s="13"/>
      <c r="Q6" s="5">
        <v>4.0</v>
      </c>
      <c r="R6" s="13"/>
      <c r="S6" s="13"/>
      <c r="T6" s="13"/>
      <c r="V6" s="2"/>
      <c r="Y6" s="11" t="s">
        <v>18</v>
      </c>
      <c r="Z6" s="5">
        <v>41.0</v>
      </c>
      <c r="AA6" s="5">
        <v>50.0</v>
      </c>
      <c r="AB6" s="13"/>
      <c r="AC6" s="5">
        <v>4.0</v>
      </c>
      <c r="AD6" s="13"/>
      <c r="AE6" s="13"/>
      <c r="AF6" s="13"/>
      <c r="AH6" s="2"/>
      <c r="AK6" s="11" t="s">
        <v>18</v>
      </c>
      <c r="AL6" s="5">
        <v>41.0</v>
      </c>
      <c r="AM6" s="5">
        <v>50.0</v>
      </c>
      <c r="AN6" s="13"/>
      <c r="AO6" s="5">
        <v>4.0</v>
      </c>
      <c r="AP6" s="13"/>
      <c r="AQ6" s="13"/>
      <c r="AR6" s="13"/>
      <c r="AT6" s="2"/>
      <c r="AW6" s="11" t="s">
        <v>18</v>
      </c>
      <c r="AX6" s="5">
        <v>41.0</v>
      </c>
      <c r="AY6" s="5">
        <v>50.0</v>
      </c>
      <c r="AZ6" s="13"/>
      <c r="BA6" s="5">
        <v>4.0</v>
      </c>
      <c r="BB6" s="13"/>
      <c r="BC6" s="13"/>
      <c r="BD6" s="13"/>
      <c r="BF6" s="2"/>
      <c r="BI6" s="11" t="s">
        <v>18</v>
      </c>
      <c r="BJ6" s="5">
        <v>41.0</v>
      </c>
      <c r="BK6" s="5">
        <v>50.0</v>
      </c>
      <c r="BL6" s="13"/>
      <c r="BM6" s="5">
        <v>4.0</v>
      </c>
      <c r="BN6" s="13"/>
      <c r="BO6" s="13"/>
      <c r="BP6" s="13"/>
      <c r="BR6" s="2"/>
      <c r="BT6" s="4"/>
      <c r="BX6" s="5"/>
      <c r="BY6" s="5"/>
      <c r="BZ6" s="5"/>
      <c r="CA6" s="13"/>
      <c r="CB6" s="5"/>
      <c r="CC6" s="13"/>
      <c r="CD6" s="13"/>
      <c r="CE6" s="13"/>
      <c r="CF6" s="13"/>
      <c r="CG6" s="13"/>
      <c r="CH6" s="13"/>
      <c r="CI6" s="13"/>
      <c r="CO6" s="5"/>
      <c r="CP6" s="5"/>
      <c r="CQ6" s="5"/>
      <c r="CR6" s="13"/>
      <c r="CS6" s="5"/>
      <c r="CT6" s="13"/>
      <c r="CU6" s="13"/>
      <c r="CV6" s="13"/>
      <c r="CW6" s="13"/>
      <c r="CX6" s="13"/>
      <c r="CY6" s="13"/>
      <c r="CZ6" s="13"/>
      <c r="DF6" s="5"/>
      <c r="DG6" s="5"/>
      <c r="DH6" s="5"/>
      <c r="DI6" s="13"/>
      <c r="DJ6" s="5"/>
      <c r="DK6" s="13"/>
      <c r="DL6" s="13"/>
      <c r="DM6" s="13"/>
      <c r="DN6" s="13"/>
      <c r="DO6" s="13"/>
      <c r="DP6" s="13"/>
      <c r="DQ6" s="13"/>
      <c r="DW6" s="5"/>
      <c r="DX6" s="5"/>
      <c r="DY6" s="5"/>
      <c r="DZ6" s="13"/>
      <c r="EA6" s="5"/>
      <c r="EB6" s="13"/>
      <c r="EC6" s="13"/>
      <c r="EN6" s="5"/>
      <c r="EO6" s="5"/>
      <c r="EP6" s="5"/>
      <c r="EQ6" s="13"/>
      <c r="ER6" s="6"/>
      <c r="ES6" s="13"/>
      <c r="ET6" s="13"/>
      <c r="FE6" s="5"/>
      <c r="FF6" s="5"/>
      <c r="FG6" s="5"/>
      <c r="FH6" s="13"/>
      <c r="FI6" s="6"/>
      <c r="FJ6" s="13"/>
      <c r="FK6" s="13"/>
    </row>
    <row r="7">
      <c r="A7" s="5" t="s">
        <v>19</v>
      </c>
      <c r="B7" s="5">
        <v>51.0</v>
      </c>
      <c r="C7" s="5">
        <v>9.99999999E8</v>
      </c>
      <c r="D7" s="14"/>
      <c r="E7" s="5">
        <v>5.0</v>
      </c>
      <c r="F7" s="8"/>
      <c r="G7" s="8"/>
      <c r="H7" s="8"/>
      <c r="J7" s="9"/>
      <c r="K7" s="9"/>
      <c r="L7" s="10"/>
      <c r="M7" s="11" t="s">
        <v>19</v>
      </c>
      <c r="N7" s="5">
        <v>51.0</v>
      </c>
      <c r="O7" s="5">
        <v>9.99999999E8</v>
      </c>
      <c r="P7" s="14"/>
      <c r="Q7" s="5">
        <v>5.0</v>
      </c>
      <c r="R7" s="8"/>
      <c r="S7" s="8"/>
      <c r="T7" s="8"/>
      <c r="V7" s="9"/>
      <c r="W7" s="9"/>
      <c r="X7" s="10"/>
      <c r="Y7" s="11" t="s">
        <v>19</v>
      </c>
      <c r="Z7" s="5">
        <v>51.0</v>
      </c>
      <c r="AA7" s="5">
        <v>9.99999999E8</v>
      </c>
      <c r="AB7" s="14"/>
      <c r="AC7" s="5">
        <v>5.0</v>
      </c>
      <c r="AD7" s="8"/>
      <c r="AE7" s="8"/>
      <c r="AF7" s="8"/>
      <c r="AH7" s="9"/>
      <c r="AI7" s="9"/>
      <c r="AJ7" s="10"/>
      <c r="AK7" s="11" t="s">
        <v>19</v>
      </c>
      <c r="AL7" s="5">
        <v>51.0</v>
      </c>
      <c r="AM7" s="5">
        <v>9.99999999E8</v>
      </c>
      <c r="AN7" s="14"/>
      <c r="AO7" s="5">
        <v>5.0</v>
      </c>
      <c r="AP7" s="8"/>
      <c r="AQ7" s="8"/>
      <c r="AR7" s="8"/>
      <c r="AT7" s="9"/>
      <c r="AU7" s="9"/>
      <c r="AV7" s="10"/>
      <c r="AW7" s="11" t="s">
        <v>19</v>
      </c>
      <c r="AX7" s="5">
        <v>51.0</v>
      </c>
      <c r="AY7" s="5">
        <v>9.99999999E8</v>
      </c>
      <c r="AZ7" s="14"/>
      <c r="BA7" s="5">
        <v>5.0</v>
      </c>
      <c r="BB7" s="8"/>
      <c r="BC7" s="8"/>
      <c r="BD7" s="8"/>
      <c r="BF7" s="9"/>
      <c r="BG7" s="9"/>
      <c r="BH7" s="10"/>
      <c r="BI7" s="11" t="s">
        <v>19</v>
      </c>
      <c r="BJ7" s="5">
        <v>51.0</v>
      </c>
      <c r="BK7" s="5">
        <v>9.99999999E8</v>
      </c>
      <c r="BL7" s="14"/>
      <c r="BM7" s="5">
        <v>5.0</v>
      </c>
      <c r="BN7" s="8"/>
      <c r="BO7" s="8"/>
      <c r="BP7" s="8"/>
      <c r="BR7" s="9"/>
      <c r="BS7" s="9"/>
      <c r="BT7" s="12"/>
      <c r="BU7" s="9"/>
      <c r="BV7" s="9"/>
      <c r="BW7" s="10"/>
      <c r="BX7" s="5"/>
      <c r="BY7" s="5"/>
      <c r="BZ7" s="5"/>
      <c r="CA7" s="14"/>
      <c r="CB7" s="5"/>
      <c r="CC7" s="8"/>
      <c r="CD7" s="8"/>
      <c r="CE7" s="8"/>
      <c r="CF7" s="8"/>
      <c r="CG7" s="8"/>
      <c r="CH7" s="8"/>
      <c r="CI7" s="8"/>
      <c r="CL7" s="9"/>
      <c r="CM7" s="9"/>
      <c r="CN7" s="10"/>
      <c r="CO7" s="5"/>
      <c r="CP7" s="5"/>
      <c r="CQ7" s="5"/>
      <c r="CR7" s="14"/>
      <c r="CS7" s="5"/>
      <c r="CT7" s="8"/>
      <c r="CU7" s="8"/>
      <c r="CV7" s="8"/>
      <c r="CW7" s="8"/>
      <c r="CX7" s="8"/>
      <c r="CY7" s="8"/>
      <c r="CZ7" s="8"/>
      <c r="DC7" s="9"/>
      <c r="DD7" s="9"/>
      <c r="DE7" s="10"/>
      <c r="DF7" s="5"/>
      <c r="DG7" s="5"/>
      <c r="DH7" s="5"/>
      <c r="DI7" s="14"/>
      <c r="DJ7" s="5"/>
      <c r="DK7" s="8"/>
      <c r="DL7" s="8"/>
      <c r="DM7" s="8"/>
      <c r="DN7" s="8"/>
      <c r="DO7" s="8"/>
      <c r="DP7" s="8"/>
      <c r="DQ7" s="8"/>
      <c r="DT7" s="9"/>
      <c r="DU7" s="9"/>
      <c r="DV7" s="10"/>
      <c r="DW7" s="5"/>
      <c r="DX7" s="5"/>
      <c r="DY7" s="5"/>
      <c r="DZ7" s="14"/>
      <c r="EA7" s="5"/>
      <c r="EB7" s="8"/>
      <c r="EC7" s="8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5"/>
      <c r="EO7" s="5"/>
      <c r="EP7" s="5"/>
      <c r="EQ7" s="14"/>
      <c r="ER7" s="15"/>
      <c r="ES7" s="8"/>
      <c r="ET7" s="8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5"/>
      <c r="FF7" s="5"/>
      <c r="FG7" s="5"/>
      <c r="FH7" s="14"/>
      <c r="FI7" s="15"/>
      <c r="FJ7" s="8"/>
      <c r="FK7" s="8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</row>
    <row r="8">
      <c r="A8" s="16"/>
      <c r="B8" s="13"/>
      <c r="C8" s="13"/>
      <c r="D8" s="13"/>
      <c r="E8" s="36"/>
      <c r="F8" s="13"/>
      <c r="G8" s="8"/>
      <c r="H8" s="8"/>
      <c r="J8" s="1"/>
      <c r="M8" s="17"/>
      <c r="N8" s="13"/>
      <c r="O8" s="13"/>
      <c r="P8" s="13"/>
      <c r="Q8" s="36"/>
      <c r="R8" s="13"/>
      <c r="S8" s="8"/>
      <c r="T8" s="8"/>
      <c r="V8" s="1"/>
      <c r="Y8" s="17"/>
      <c r="Z8" s="13"/>
      <c r="AA8" s="13"/>
      <c r="AB8" s="13"/>
      <c r="AC8" s="36"/>
      <c r="AD8" s="13"/>
      <c r="AE8" s="8"/>
      <c r="AF8" s="8"/>
      <c r="AH8" s="1"/>
      <c r="AK8" s="17"/>
      <c r="AL8" s="13"/>
      <c r="AM8" s="13"/>
      <c r="AN8" s="13"/>
      <c r="AO8" s="36"/>
      <c r="AP8" s="13"/>
      <c r="AQ8" s="8"/>
      <c r="AR8" s="8"/>
      <c r="AT8" s="1"/>
      <c r="AW8" s="17"/>
      <c r="AX8" s="13"/>
      <c r="AY8" s="13"/>
      <c r="AZ8" s="13"/>
      <c r="BA8" s="36"/>
      <c r="BB8" s="13"/>
      <c r="BC8" s="8"/>
      <c r="BD8" s="8"/>
      <c r="BF8" s="1"/>
      <c r="BI8" s="17"/>
      <c r="BJ8" s="13"/>
      <c r="BK8" s="13"/>
      <c r="BL8" s="13"/>
      <c r="BM8" s="36"/>
      <c r="BN8" s="13"/>
      <c r="BO8" s="8"/>
      <c r="BP8" s="8"/>
      <c r="BR8" s="1"/>
      <c r="BT8" s="4"/>
      <c r="BU8" s="1"/>
      <c r="BX8" s="16"/>
      <c r="BY8" s="13"/>
      <c r="BZ8" s="13"/>
      <c r="CA8" s="13"/>
      <c r="CB8" s="13"/>
      <c r="CC8" s="13"/>
      <c r="CD8" s="13"/>
      <c r="CE8" s="8"/>
      <c r="CF8" s="8"/>
      <c r="CG8" s="8"/>
      <c r="CH8" s="8"/>
      <c r="CI8" s="8"/>
      <c r="CL8" s="1"/>
      <c r="CO8" s="16"/>
      <c r="CP8" s="13"/>
      <c r="CQ8" s="13"/>
      <c r="CR8" s="13"/>
      <c r="CS8" s="13"/>
      <c r="CT8" s="13"/>
      <c r="CU8" s="13"/>
      <c r="CV8" s="8"/>
      <c r="CW8" s="8"/>
      <c r="CX8" s="8"/>
      <c r="CY8" s="8"/>
      <c r="CZ8" s="8"/>
      <c r="DC8" s="1"/>
      <c r="DF8" s="16"/>
      <c r="DG8" s="13"/>
      <c r="DH8" s="13"/>
      <c r="DI8" s="13"/>
      <c r="DJ8" s="13"/>
      <c r="DK8" s="13"/>
      <c r="DL8" s="13"/>
      <c r="DM8" s="8"/>
      <c r="DN8" s="8"/>
      <c r="DO8" s="8"/>
      <c r="DP8" s="8"/>
      <c r="DQ8" s="8"/>
      <c r="DT8" s="1"/>
      <c r="DW8" s="16"/>
      <c r="DX8" s="13"/>
      <c r="DY8" s="13"/>
      <c r="DZ8" s="13"/>
      <c r="EA8" s="13"/>
      <c r="EB8" s="13"/>
      <c r="EC8" s="13"/>
      <c r="EN8" s="16"/>
      <c r="EO8" s="13"/>
      <c r="EP8" s="13"/>
      <c r="EQ8" s="13"/>
      <c r="ER8" s="13"/>
      <c r="ES8" s="13"/>
      <c r="ET8" s="13"/>
      <c r="FE8" s="16"/>
      <c r="FF8" s="13"/>
      <c r="FG8" s="13"/>
      <c r="FH8" s="13"/>
      <c r="FI8" s="13"/>
      <c r="FJ8" s="13"/>
      <c r="FK8" s="13"/>
    </row>
    <row r="9">
      <c r="A9" s="1" t="s">
        <v>20</v>
      </c>
      <c r="J9" s="2"/>
      <c r="M9" s="3" t="s">
        <v>20</v>
      </c>
      <c r="V9" s="2"/>
      <c r="Y9" s="3" t="s">
        <v>20</v>
      </c>
      <c r="AH9" s="2"/>
      <c r="AK9" s="3" t="s">
        <v>20</v>
      </c>
      <c r="AT9" s="2"/>
      <c r="AW9" s="3" t="s">
        <v>20</v>
      </c>
      <c r="BF9" s="2"/>
      <c r="BI9" s="3" t="s">
        <v>20</v>
      </c>
      <c r="BR9" s="2"/>
      <c r="BT9" s="4"/>
      <c r="BX9" s="1"/>
      <c r="CO9" s="1"/>
      <c r="DF9" s="1"/>
      <c r="DW9" s="1"/>
      <c r="EN9" s="1"/>
      <c r="FE9" s="1"/>
    </row>
    <row r="10">
      <c r="A10" s="2" t="s">
        <v>21</v>
      </c>
      <c r="B10" s="2" t="s">
        <v>22</v>
      </c>
      <c r="C10" s="2" t="s">
        <v>23</v>
      </c>
      <c r="D10" s="2" t="s">
        <v>24</v>
      </c>
      <c r="J10" s="2"/>
      <c r="K10" s="9"/>
      <c r="L10" s="9"/>
      <c r="M10" s="18" t="s">
        <v>21</v>
      </c>
      <c r="N10" s="2" t="s">
        <v>22</v>
      </c>
      <c r="O10" s="2" t="s">
        <v>23</v>
      </c>
      <c r="P10" s="2" t="s">
        <v>24</v>
      </c>
      <c r="V10" s="2"/>
      <c r="W10" s="9"/>
      <c r="X10" s="9"/>
      <c r="Y10" s="18" t="s">
        <v>21</v>
      </c>
      <c r="Z10" s="2" t="s">
        <v>22</v>
      </c>
      <c r="AA10" s="2" t="s">
        <v>23</v>
      </c>
      <c r="AB10" s="2" t="s">
        <v>24</v>
      </c>
      <c r="AH10" s="2"/>
      <c r="AI10" s="9"/>
      <c r="AJ10" s="9"/>
      <c r="AK10" s="18" t="s">
        <v>21</v>
      </c>
      <c r="AL10" s="2" t="s">
        <v>22</v>
      </c>
      <c r="AM10" s="2" t="s">
        <v>23</v>
      </c>
      <c r="AN10" s="2" t="s">
        <v>24</v>
      </c>
      <c r="AT10" s="2"/>
      <c r="AU10" s="9"/>
      <c r="AV10" s="9"/>
      <c r="AW10" s="18" t="s">
        <v>21</v>
      </c>
      <c r="AX10" s="2" t="s">
        <v>22</v>
      </c>
      <c r="AY10" s="2" t="s">
        <v>23</v>
      </c>
      <c r="AZ10" s="2" t="s">
        <v>24</v>
      </c>
      <c r="BF10" s="2"/>
      <c r="BG10" s="9"/>
      <c r="BH10" s="9"/>
      <c r="BI10" s="18" t="s">
        <v>21</v>
      </c>
      <c r="BJ10" s="2" t="s">
        <v>22</v>
      </c>
      <c r="BK10" s="2" t="s">
        <v>23</v>
      </c>
      <c r="BL10" s="2" t="s">
        <v>24</v>
      </c>
      <c r="BR10" s="2"/>
      <c r="BS10" s="9"/>
      <c r="BT10" s="19"/>
      <c r="BV10" s="9"/>
      <c r="BW10" s="9"/>
      <c r="BX10" s="2"/>
      <c r="CM10" s="9"/>
      <c r="CN10" s="9"/>
      <c r="CO10" s="2"/>
      <c r="DD10" s="9"/>
      <c r="DE10" s="9"/>
      <c r="DF10" s="2"/>
      <c r="DU10" s="9"/>
      <c r="DV10" s="9"/>
      <c r="DW10" s="2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2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2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</row>
    <row r="11">
      <c r="A11" s="2" t="s">
        <v>27</v>
      </c>
      <c r="B11" s="9">
        <v>200000.0</v>
      </c>
      <c r="C11" s="9">
        <v>220000.0</v>
      </c>
      <c r="D11" s="9">
        <v>180000.0</v>
      </c>
      <c r="J11" s="2"/>
      <c r="K11" s="9"/>
      <c r="L11" s="9"/>
      <c r="M11" s="18" t="s">
        <v>27</v>
      </c>
      <c r="N11" s="9">
        <v>200000.0</v>
      </c>
      <c r="O11" s="9">
        <v>220000.0</v>
      </c>
      <c r="P11" s="9">
        <v>180000.0</v>
      </c>
      <c r="V11" s="2"/>
      <c r="W11" s="9"/>
      <c r="X11" s="9"/>
      <c r="Y11" s="18" t="s">
        <v>27</v>
      </c>
      <c r="Z11" s="9">
        <v>200000.0</v>
      </c>
      <c r="AA11" s="9">
        <v>220000.0</v>
      </c>
      <c r="AB11" s="9">
        <v>180000.0</v>
      </c>
      <c r="AH11" s="2"/>
      <c r="AI11" s="9"/>
      <c r="AJ11" s="9"/>
      <c r="AK11" s="18" t="s">
        <v>27</v>
      </c>
      <c r="AL11" s="9">
        <v>200000.0</v>
      </c>
      <c r="AM11" s="9">
        <v>220000.0</v>
      </c>
      <c r="AN11" s="9">
        <v>180000.0</v>
      </c>
      <c r="AT11" s="2"/>
      <c r="AU11" s="9"/>
      <c r="AV11" s="9"/>
      <c r="AW11" s="18" t="s">
        <v>27</v>
      </c>
      <c r="AX11" s="9">
        <v>200000.0</v>
      </c>
      <c r="AY11" s="9">
        <v>220000.0</v>
      </c>
      <c r="AZ11" s="9">
        <v>180000.0</v>
      </c>
      <c r="BF11" s="2"/>
      <c r="BG11" s="9"/>
      <c r="BH11" s="9"/>
      <c r="BI11" s="18" t="s">
        <v>27</v>
      </c>
      <c r="BJ11" s="9">
        <v>200000.0</v>
      </c>
      <c r="BK11" s="9">
        <v>220000.0</v>
      </c>
      <c r="BL11" s="9">
        <v>180000.0</v>
      </c>
      <c r="BR11" s="2"/>
      <c r="BS11" s="9"/>
      <c r="BT11" s="19"/>
      <c r="BV11" s="9"/>
      <c r="BW11" s="9"/>
      <c r="BX11" s="2"/>
      <c r="BY11" s="9"/>
      <c r="BZ11" s="9"/>
      <c r="CA11" s="9"/>
      <c r="CM11" s="9"/>
      <c r="CN11" s="9"/>
      <c r="CO11" s="2"/>
      <c r="CP11" s="9"/>
      <c r="CQ11" s="9"/>
      <c r="CR11" s="9"/>
      <c r="DD11" s="9"/>
      <c r="DE11" s="9"/>
      <c r="DF11" s="2"/>
      <c r="DG11" s="9"/>
      <c r="DH11" s="9"/>
      <c r="DI11" s="9"/>
      <c r="DU11" s="9"/>
      <c r="DV11" s="9"/>
      <c r="DW11" s="2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2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2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</row>
    <row r="12">
      <c r="A12" s="2" t="s">
        <v>29</v>
      </c>
      <c r="B12" s="9">
        <v>250000.0</v>
      </c>
      <c r="C12" s="9">
        <v>300000.0</v>
      </c>
      <c r="D12" s="9">
        <v>180000.0</v>
      </c>
      <c r="J12" s="2"/>
      <c r="K12" s="9"/>
      <c r="L12" s="9"/>
      <c r="M12" s="18" t="s">
        <v>29</v>
      </c>
      <c r="N12" s="9">
        <v>250000.0</v>
      </c>
      <c r="O12" s="9">
        <v>300000.0</v>
      </c>
      <c r="P12" s="9">
        <v>180000.0</v>
      </c>
      <c r="V12" s="2"/>
      <c r="W12" s="9"/>
      <c r="X12" s="9"/>
      <c r="Y12" s="18" t="s">
        <v>29</v>
      </c>
      <c r="Z12" s="9">
        <v>250000.0</v>
      </c>
      <c r="AA12" s="9">
        <v>300000.0</v>
      </c>
      <c r="AB12" s="9">
        <v>180000.0</v>
      </c>
      <c r="AH12" s="2"/>
      <c r="AI12" s="9"/>
      <c r="AJ12" s="9"/>
      <c r="AK12" s="18" t="s">
        <v>29</v>
      </c>
      <c r="AL12" s="9">
        <v>250000.0</v>
      </c>
      <c r="AM12" s="9">
        <v>300000.0</v>
      </c>
      <c r="AN12" s="9">
        <v>180000.0</v>
      </c>
      <c r="AT12" s="2"/>
      <c r="AU12" s="9"/>
      <c r="AV12" s="9"/>
      <c r="AW12" s="18" t="s">
        <v>29</v>
      </c>
      <c r="AX12" s="9">
        <v>250000.0</v>
      </c>
      <c r="AY12" s="9">
        <v>300000.0</v>
      </c>
      <c r="AZ12" s="9">
        <v>180000.0</v>
      </c>
      <c r="BF12" s="2"/>
      <c r="BG12" s="9"/>
      <c r="BH12" s="9"/>
      <c r="BI12" s="18" t="s">
        <v>29</v>
      </c>
      <c r="BJ12" s="9">
        <v>250000.0</v>
      </c>
      <c r="BK12" s="9">
        <v>300000.0</v>
      </c>
      <c r="BL12" s="9">
        <v>180000.0</v>
      </c>
      <c r="BR12" s="2"/>
      <c r="BS12" s="9"/>
      <c r="BT12" s="19"/>
      <c r="BV12" s="9"/>
      <c r="BW12" s="9"/>
      <c r="BX12" s="2"/>
      <c r="BY12" s="9"/>
      <c r="BZ12" s="9"/>
      <c r="CA12" s="9"/>
      <c r="CM12" s="9"/>
      <c r="CN12" s="9"/>
      <c r="CO12" s="2"/>
      <c r="CP12" s="9"/>
      <c r="CQ12" s="9"/>
      <c r="CR12" s="9"/>
      <c r="DD12" s="9"/>
      <c r="DE12" s="9"/>
      <c r="DF12" s="2"/>
      <c r="DG12" s="9"/>
      <c r="DH12" s="9"/>
      <c r="DI12" s="9"/>
      <c r="DU12" s="9"/>
      <c r="DV12" s="9"/>
      <c r="DW12" s="2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2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2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</row>
    <row r="13">
      <c r="A13" s="2" t="s">
        <v>31</v>
      </c>
      <c r="B13" s="9">
        <v>200000.0</v>
      </c>
      <c r="C13" s="9">
        <v>220000.0</v>
      </c>
      <c r="D13" s="9">
        <v>180000.0</v>
      </c>
      <c r="J13" s="1"/>
      <c r="K13" s="9"/>
      <c r="L13" s="9"/>
      <c r="M13" s="18" t="s">
        <v>31</v>
      </c>
      <c r="N13" s="9">
        <v>200000.0</v>
      </c>
      <c r="O13" s="9">
        <v>220000.0</v>
      </c>
      <c r="P13" s="9">
        <v>180000.0</v>
      </c>
      <c r="V13" s="1"/>
      <c r="W13" s="9"/>
      <c r="X13" s="9"/>
      <c r="Y13" s="18" t="s">
        <v>31</v>
      </c>
      <c r="Z13" s="9">
        <v>200000.0</v>
      </c>
      <c r="AA13" s="9">
        <v>220000.0</v>
      </c>
      <c r="AB13" s="9">
        <v>180000.0</v>
      </c>
      <c r="AH13" s="1"/>
      <c r="AI13" s="9"/>
      <c r="AJ13" s="9"/>
      <c r="AK13" s="18" t="s">
        <v>31</v>
      </c>
      <c r="AL13" s="9">
        <v>200000.0</v>
      </c>
      <c r="AM13" s="9">
        <v>220000.0</v>
      </c>
      <c r="AN13" s="9">
        <v>180000.0</v>
      </c>
      <c r="AT13" s="1"/>
      <c r="AU13" s="9"/>
      <c r="AV13" s="9"/>
      <c r="AW13" s="18" t="s">
        <v>31</v>
      </c>
      <c r="AX13" s="9">
        <v>200000.0</v>
      </c>
      <c r="AY13" s="9">
        <v>220000.0</v>
      </c>
      <c r="AZ13" s="9">
        <v>180000.0</v>
      </c>
      <c r="BF13" s="1"/>
      <c r="BG13" s="9"/>
      <c r="BH13" s="9"/>
      <c r="BI13" s="18" t="s">
        <v>31</v>
      </c>
      <c r="BJ13" s="9">
        <v>200000.0</v>
      </c>
      <c r="BK13" s="9">
        <v>220000.0</v>
      </c>
      <c r="BL13" s="9">
        <v>180000.0</v>
      </c>
      <c r="BR13" s="1"/>
      <c r="BS13" s="9"/>
      <c r="BT13" s="19"/>
      <c r="BU13" s="1"/>
      <c r="BV13" s="9"/>
      <c r="BW13" s="9"/>
      <c r="BX13" s="2"/>
      <c r="BY13" s="9"/>
      <c r="BZ13" s="9"/>
      <c r="CA13" s="9"/>
      <c r="CL13" s="1"/>
      <c r="CM13" s="9"/>
      <c r="CN13" s="9"/>
      <c r="CO13" s="2"/>
      <c r="CP13" s="9"/>
      <c r="CQ13" s="9"/>
      <c r="CR13" s="9"/>
      <c r="DC13" s="1"/>
      <c r="DD13" s="9"/>
      <c r="DE13" s="9"/>
      <c r="DF13" s="2"/>
      <c r="DG13" s="9"/>
      <c r="DH13" s="9"/>
      <c r="DI13" s="9"/>
      <c r="DT13" s="1"/>
      <c r="DU13" s="9"/>
      <c r="DV13" s="9"/>
      <c r="DW13" s="2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2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2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</row>
    <row r="14">
      <c r="B14" s="9"/>
      <c r="C14" s="9"/>
      <c r="D14" s="9"/>
      <c r="J14" s="2"/>
      <c r="K14" s="9"/>
      <c r="L14" s="9"/>
      <c r="M14" s="20"/>
      <c r="N14" s="9"/>
      <c r="O14" s="9"/>
      <c r="P14" s="9"/>
      <c r="V14" s="2"/>
      <c r="W14" s="9"/>
      <c r="X14" s="9"/>
      <c r="Y14" s="20"/>
      <c r="Z14" s="9"/>
      <c r="AA14" s="9"/>
      <c r="AB14" s="9"/>
      <c r="AH14" s="2"/>
      <c r="AI14" s="9"/>
      <c r="AJ14" s="9"/>
      <c r="AK14" s="20"/>
      <c r="AL14" s="9"/>
      <c r="AM14" s="9"/>
      <c r="AN14" s="9"/>
      <c r="AT14" s="2"/>
      <c r="AU14" s="9"/>
      <c r="AV14" s="9"/>
      <c r="AW14" s="20"/>
      <c r="AX14" s="9"/>
      <c r="AY14" s="9"/>
      <c r="AZ14" s="9"/>
      <c r="BF14" s="2"/>
      <c r="BG14" s="9"/>
      <c r="BH14" s="9"/>
      <c r="BI14" s="37" t="s">
        <v>73</v>
      </c>
      <c r="BR14" s="2"/>
      <c r="BS14" s="9"/>
      <c r="BT14" s="19"/>
      <c r="BV14" s="9"/>
      <c r="BW14" s="9"/>
      <c r="BX14" s="1"/>
      <c r="BY14" s="9"/>
      <c r="BZ14" s="9"/>
      <c r="CA14" s="9"/>
      <c r="CM14" s="9"/>
      <c r="CN14" s="9"/>
      <c r="CO14" s="1"/>
      <c r="CP14" s="9"/>
      <c r="CQ14" s="21"/>
      <c r="CR14" s="9"/>
      <c r="CT14" s="21"/>
      <c r="DD14" s="9"/>
      <c r="DE14" s="9"/>
      <c r="DF14" s="1"/>
      <c r="DG14" s="9"/>
      <c r="DH14" s="21"/>
      <c r="DI14" s="9"/>
      <c r="DK14" s="21"/>
      <c r="DU14" s="9"/>
      <c r="DV14" s="9"/>
      <c r="DW14" s="1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1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1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</row>
    <row r="15">
      <c r="A15" s="37" t="s">
        <v>73</v>
      </c>
      <c r="J15" s="1"/>
      <c r="M15" s="37" t="s">
        <v>73</v>
      </c>
      <c r="V15" s="1"/>
      <c r="Y15" s="37" t="s">
        <v>73</v>
      </c>
      <c r="AH15" s="1"/>
      <c r="AK15" s="37" t="s">
        <v>73</v>
      </c>
      <c r="AT15" s="1"/>
      <c r="AW15" s="37" t="s">
        <v>73</v>
      </c>
      <c r="BF15" s="1"/>
      <c r="BI15" s="38" t="s">
        <v>21</v>
      </c>
      <c r="BJ15" s="8" t="s">
        <v>22</v>
      </c>
      <c r="BK15" s="8" t="s">
        <v>23</v>
      </c>
      <c r="BL15" s="8" t="s">
        <v>24</v>
      </c>
      <c r="BM15" s="8" t="s">
        <v>74</v>
      </c>
      <c r="BR15" s="1"/>
      <c r="BT15" s="4"/>
      <c r="BU15" s="1"/>
      <c r="BX15" s="9"/>
      <c r="CL15" s="1"/>
      <c r="CO15" s="2"/>
      <c r="CP15" s="9"/>
      <c r="CQ15" s="9"/>
      <c r="CR15" s="9"/>
      <c r="DC15" s="1"/>
      <c r="DF15" s="2"/>
      <c r="DG15" s="9"/>
      <c r="DH15" s="9"/>
      <c r="DI15" s="9"/>
      <c r="DT15" s="1"/>
    </row>
    <row r="16">
      <c r="A16" s="14" t="s">
        <v>21</v>
      </c>
      <c r="B16" s="8" t="s">
        <v>22</v>
      </c>
      <c r="C16" s="8" t="s">
        <v>23</v>
      </c>
      <c r="D16" s="8" t="s">
        <v>24</v>
      </c>
      <c r="E16" s="8" t="s">
        <v>74</v>
      </c>
      <c r="J16" s="1"/>
      <c r="M16" s="38" t="s">
        <v>21</v>
      </c>
      <c r="N16" s="8" t="s">
        <v>22</v>
      </c>
      <c r="O16" s="8" t="s">
        <v>23</v>
      </c>
      <c r="P16" s="8" t="s">
        <v>24</v>
      </c>
      <c r="Q16" s="8" t="s">
        <v>74</v>
      </c>
      <c r="V16" s="1"/>
      <c r="Y16" s="38" t="s">
        <v>21</v>
      </c>
      <c r="Z16" s="8" t="s">
        <v>22</v>
      </c>
      <c r="AA16" s="8" t="s">
        <v>23</v>
      </c>
      <c r="AB16" s="8" t="s">
        <v>24</v>
      </c>
      <c r="AC16" s="8" t="s">
        <v>74</v>
      </c>
      <c r="AH16" s="1"/>
      <c r="AK16" s="38" t="s">
        <v>21</v>
      </c>
      <c r="AL16" s="8" t="s">
        <v>22</v>
      </c>
      <c r="AM16" s="8" t="s">
        <v>23</v>
      </c>
      <c r="AN16" s="8" t="s">
        <v>24</v>
      </c>
      <c r="AO16" s="8" t="s">
        <v>74</v>
      </c>
      <c r="AT16" s="1"/>
      <c r="AW16" s="38" t="s">
        <v>21</v>
      </c>
      <c r="AX16" s="8" t="s">
        <v>22</v>
      </c>
      <c r="AY16" s="8" t="s">
        <v>23</v>
      </c>
      <c r="AZ16" s="8" t="s">
        <v>24</v>
      </c>
      <c r="BA16" s="8" t="s">
        <v>74</v>
      </c>
      <c r="BF16" s="1"/>
      <c r="BI16" s="11" t="s">
        <v>75</v>
      </c>
      <c r="BJ16" s="39">
        <v>150000.0</v>
      </c>
      <c r="BK16" s="39">
        <v>170000.0</v>
      </c>
      <c r="BL16" s="39">
        <v>120000.0</v>
      </c>
      <c r="BM16" s="39">
        <v>9.0</v>
      </c>
      <c r="BR16" s="1"/>
      <c r="BT16" s="4"/>
      <c r="BU16" s="1"/>
      <c r="BX16" s="9"/>
      <c r="CL16" s="1"/>
      <c r="CO16" s="2"/>
      <c r="CP16" s="9"/>
      <c r="CQ16" s="9"/>
      <c r="CR16" s="9"/>
      <c r="DC16" s="1"/>
      <c r="DF16" s="2"/>
      <c r="DG16" s="9"/>
      <c r="DH16" s="9"/>
      <c r="DI16" s="9"/>
      <c r="DT16" s="1"/>
    </row>
    <row r="17">
      <c r="A17" s="14" t="s">
        <v>76</v>
      </c>
      <c r="B17" s="36">
        <v>100000.0</v>
      </c>
      <c r="C17" s="36">
        <v>150000.0</v>
      </c>
      <c r="D17" s="36">
        <v>120000.0</v>
      </c>
      <c r="E17" s="40">
        <v>30.0</v>
      </c>
      <c r="J17" s="1"/>
      <c r="M17" s="38" t="s">
        <v>76</v>
      </c>
      <c r="N17" s="36">
        <v>100000.0</v>
      </c>
      <c r="O17" s="36">
        <v>150000.0</v>
      </c>
      <c r="P17" s="36">
        <v>120000.0</v>
      </c>
      <c r="Q17" s="40">
        <v>10.0</v>
      </c>
      <c r="V17" s="1"/>
      <c r="Y17" s="38" t="s">
        <v>76</v>
      </c>
      <c r="Z17" s="36">
        <v>100000.0</v>
      </c>
      <c r="AA17" s="36">
        <v>150000.0</v>
      </c>
      <c r="AB17" s="36">
        <v>120000.0</v>
      </c>
      <c r="AC17" s="40">
        <v>40.0</v>
      </c>
      <c r="AH17" s="1"/>
      <c r="AK17" s="38" t="s">
        <v>76</v>
      </c>
      <c r="AL17" s="36">
        <v>100000.0</v>
      </c>
      <c r="AM17" s="36">
        <v>150000.0</v>
      </c>
      <c r="AN17" s="36">
        <v>120000.0</v>
      </c>
      <c r="AO17" s="40">
        <v>40.0</v>
      </c>
      <c r="AT17" s="1"/>
      <c r="AW17" s="38" t="s">
        <v>76</v>
      </c>
      <c r="AX17" s="36">
        <v>100000.0</v>
      </c>
      <c r="AY17" s="36">
        <v>150000.0</v>
      </c>
      <c r="AZ17" s="36">
        <v>120000.0</v>
      </c>
      <c r="BA17" s="40">
        <v>40.0</v>
      </c>
      <c r="BF17" s="1"/>
      <c r="BI17" s="38" t="s">
        <v>76</v>
      </c>
      <c r="BJ17" s="41">
        <v>150000.0</v>
      </c>
      <c r="BK17" s="36">
        <v>150000.0</v>
      </c>
      <c r="BL17" s="36">
        <v>120000.0</v>
      </c>
      <c r="BM17" s="40">
        <v>10.0</v>
      </c>
      <c r="BR17" s="1"/>
      <c r="BT17" s="4"/>
      <c r="BU17" s="1"/>
      <c r="BX17" s="9"/>
      <c r="CL17" s="1"/>
      <c r="CO17" s="2"/>
      <c r="CP17" s="9"/>
      <c r="CQ17" s="9"/>
      <c r="CR17" s="9"/>
      <c r="DC17" s="1"/>
      <c r="DF17" s="2"/>
      <c r="DG17" s="9"/>
      <c r="DH17" s="9"/>
      <c r="DI17" s="9"/>
      <c r="DT17" s="1"/>
    </row>
    <row r="18">
      <c r="A18" s="16"/>
      <c r="B18" s="36"/>
      <c r="C18" s="36"/>
      <c r="D18" s="36"/>
      <c r="E18" s="42"/>
      <c r="J18" s="1"/>
      <c r="M18" s="17"/>
      <c r="N18" s="36"/>
      <c r="O18" s="36"/>
      <c r="P18" s="36"/>
      <c r="Q18" s="42"/>
      <c r="V18" s="1"/>
      <c r="Y18" s="43" t="s">
        <v>77</v>
      </c>
      <c r="Z18" s="36"/>
      <c r="AA18" s="36"/>
      <c r="AB18" s="44"/>
      <c r="AC18" s="42"/>
      <c r="AD18" s="44" t="s">
        <v>78</v>
      </c>
      <c r="AH18" s="1"/>
      <c r="AK18" s="43" t="s">
        <v>77</v>
      </c>
      <c r="AL18" s="36"/>
      <c r="AM18" s="36"/>
      <c r="AN18" s="44"/>
      <c r="AO18" s="42"/>
      <c r="AP18" s="44" t="s">
        <v>78</v>
      </c>
      <c r="AT18" s="1"/>
      <c r="AW18" s="43" t="s">
        <v>77</v>
      </c>
      <c r="AX18" s="36"/>
      <c r="AY18" s="36"/>
      <c r="AZ18" s="44"/>
      <c r="BA18" s="42"/>
      <c r="BB18" s="44" t="s">
        <v>78</v>
      </c>
      <c r="BF18" s="1"/>
      <c r="BI18" s="43" t="s">
        <v>77</v>
      </c>
      <c r="BJ18" s="36"/>
      <c r="BK18" s="36"/>
      <c r="BL18" s="44"/>
      <c r="BM18" s="42"/>
      <c r="BN18" s="44" t="s">
        <v>78</v>
      </c>
      <c r="BR18" s="1"/>
      <c r="BT18" s="4"/>
      <c r="BU18" s="1"/>
      <c r="BX18" s="9"/>
      <c r="CL18" s="1"/>
      <c r="CO18" s="2"/>
      <c r="CP18" s="9"/>
      <c r="CQ18" s="9"/>
      <c r="CR18" s="9"/>
      <c r="DC18" s="1"/>
      <c r="DF18" s="2"/>
      <c r="DG18" s="9"/>
      <c r="DH18" s="9"/>
      <c r="DI18" s="9"/>
      <c r="DT18" s="1"/>
    </row>
    <row r="19">
      <c r="A19" s="1"/>
      <c r="J19" s="1"/>
      <c r="M19" s="3"/>
      <c r="V19" s="1"/>
      <c r="Y19" s="18">
        <v>20.0</v>
      </c>
      <c r="AC19" s="2">
        <v>3.0</v>
      </c>
      <c r="AH19" s="1"/>
      <c r="AK19" s="18">
        <v>20.0</v>
      </c>
      <c r="AO19" s="2">
        <v>7.0</v>
      </c>
      <c r="AT19" s="1"/>
      <c r="AW19" s="22">
        <v>2000000.0</v>
      </c>
      <c r="BA19" s="9">
        <v>700000.0</v>
      </c>
      <c r="BF19" s="1"/>
      <c r="BI19" s="18">
        <v>20.0</v>
      </c>
      <c r="BM19" s="2">
        <v>0.0</v>
      </c>
      <c r="BR19" s="1"/>
      <c r="BT19" s="4"/>
      <c r="BU19" s="1"/>
      <c r="BX19" s="9"/>
      <c r="CL19" s="1"/>
      <c r="CO19" s="2"/>
      <c r="CP19" s="9"/>
      <c r="CQ19" s="9"/>
      <c r="CR19" s="9"/>
      <c r="DC19" s="1"/>
      <c r="DF19" s="2"/>
      <c r="DG19" s="9"/>
      <c r="DH19" s="9"/>
      <c r="DI19" s="9"/>
      <c r="DT19" s="1"/>
    </row>
    <row r="20">
      <c r="A20" s="1"/>
      <c r="J20" s="1"/>
      <c r="M20" s="3"/>
      <c r="V20" s="1"/>
      <c r="Y20" s="3"/>
      <c r="AH20" s="1"/>
      <c r="AK20" s="3"/>
      <c r="AT20" s="1"/>
      <c r="AW20" s="3"/>
      <c r="BF20" s="1"/>
      <c r="BI20" s="3"/>
      <c r="BR20" s="1"/>
      <c r="BT20" s="4"/>
      <c r="BU20" s="1"/>
      <c r="BX20" s="9"/>
      <c r="CL20" s="1"/>
      <c r="CO20" s="2"/>
      <c r="CP20" s="9"/>
      <c r="CQ20" s="9"/>
      <c r="CR20" s="9"/>
      <c r="DC20" s="1"/>
      <c r="DF20" s="2"/>
      <c r="DG20" s="9"/>
      <c r="DH20" s="9"/>
      <c r="DI20" s="9"/>
      <c r="DT20" s="1"/>
    </row>
    <row r="21">
      <c r="A21" s="23" t="s">
        <v>38</v>
      </c>
      <c r="B21" s="23" t="s">
        <v>39</v>
      </c>
      <c r="C21" s="23" t="s">
        <v>40</v>
      </c>
      <c r="D21" s="23" t="s">
        <v>41</v>
      </c>
      <c r="E21" s="23" t="s">
        <v>42</v>
      </c>
      <c r="F21" s="23" t="s">
        <v>43</v>
      </c>
      <c r="G21" s="23" t="s">
        <v>44</v>
      </c>
      <c r="H21" s="23" t="s">
        <v>45</v>
      </c>
      <c r="I21" s="23" t="s">
        <v>46</v>
      </c>
      <c r="J21" s="23" t="s">
        <v>47</v>
      </c>
      <c r="M21" s="20" t="s">
        <v>38</v>
      </c>
      <c r="N21" s="23" t="s">
        <v>39</v>
      </c>
      <c r="O21" s="23" t="s">
        <v>40</v>
      </c>
      <c r="P21" s="23" t="s">
        <v>41</v>
      </c>
      <c r="Q21" s="23" t="s">
        <v>42</v>
      </c>
      <c r="R21" s="23" t="s">
        <v>43</v>
      </c>
      <c r="S21" s="23" t="s">
        <v>44</v>
      </c>
      <c r="T21" s="23" t="s">
        <v>45</v>
      </c>
      <c r="U21" s="23" t="s">
        <v>46</v>
      </c>
      <c r="V21" s="23" t="s">
        <v>47</v>
      </c>
      <c r="Y21" s="20" t="s">
        <v>38</v>
      </c>
      <c r="Z21" s="23" t="s">
        <v>39</v>
      </c>
      <c r="AA21" s="23" t="s">
        <v>40</v>
      </c>
      <c r="AB21" s="23" t="s">
        <v>41</v>
      </c>
      <c r="AC21" s="23" t="s">
        <v>42</v>
      </c>
      <c r="AD21" s="23" t="s">
        <v>43</v>
      </c>
      <c r="AE21" s="23" t="s">
        <v>44</v>
      </c>
      <c r="AF21" s="23" t="s">
        <v>45</v>
      </c>
      <c r="AG21" s="23" t="s">
        <v>46</v>
      </c>
      <c r="AH21" s="23" t="s">
        <v>47</v>
      </c>
      <c r="AK21" s="20" t="s">
        <v>38</v>
      </c>
      <c r="AL21" s="23" t="s">
        <v>39</v>
      </c>
      <c r="AM21" s="23" t="s">
        <v>40</v>
      </c>
      <c r="AN21" s="23" t="s">
        <v>41</v>
      </c>
      <c r="AO21" s="23" t="s">
        <v>42</v>
      </c>
      <c r="AP21" s="23" t="s">
        <v>43</v>
      </c>
      <c r="AQ21" s="23" t="s">
        <v>44</v>
      </c>
      <c r="AR21" s="23" t="s">
        <v>45</v>
      </c>
      <c r="AS21" s="23" t="s">
        <v>46</v>
      </c>
      <c r="AT21" s="23" t="s">
        <v>47</v>
      </c>
      <c r="AW21" s="20" t="s">
        <v>38</v>
      </c>
      <c r="AX21" s="23" t="s">
        <v>39</v>
      </c>
      <c r="AY21" s="23" t="s">
        <v>40</v>
      </c>
      <c r="AZ21" s="23" t="s">
        <v>41</v>
      </c>
      <c r="BA21" s="23" t="s">
        <v>42</v>
      </c>
      <c r="BB21" s="23" t="s">
        <v>43</v>
      </c>
      <c r="BC21" s="23" t="s">
        <v>44</v>
      </c>
      <c r="BD21" s="23" t="s">
        <v>45</v>
      </c>
      <c r="BE21" s="23" t="s">
        <v>46</v>
      </c>
      <c r="BF21" s="23" t="s">
        <v>47</v>
      </c>
      <c r="BI21" s="20" t="s">
        <v>38</v>
      </c>
      <c r="BJ21" s="23" t="s">
        <v>39</v>
      </c>
      <c r="BK21" s="23" t="s">
        <v>40</v>
      </c>
      <c r="BL21" s="23" t="s">
        <v>41</v>
      </c>
      <c r="BM21" s="23" t="s">
        <v>42</v>
      </c>
      <c r="BN21" s="23" t="s">
        <v>43</v>
      </c>
      <c r="BO21" s="23" t="s">
        <v>44</v>
      </c>
      <c r="BP21" s="23" t="s">
        <v>45</v>
      </c>
      <c r="BQ21" s="23" t="s">
        <v>46</v>
      </c>
      <c r="BR21" s="23" t="s">
        <v>47</v>
      </c>
      <c r="BT21" s="4"/>
      <c r="DW21" s="1"/>
      <c r="EN21" s="1"/>
      <c r="FE21" s="1"/>
    </row>
    <row r="22">
      <c r="A22" s="23" t="s">
        <v>27</v>
      </c>
      <c r="B22" s="2">
        <v>30.0</v>
      </c>
      <c r="C22" s="9">
        <f>B11</f>
        <v>200000</v>
      </c>
      <c r="D22" s="9">
        <f t="shared" ref="D22:D25" si="1">B22*C22</f>
        <v>6000000</v>
      </c>
      <c r="E22" s="24"/>
      <c r="F22" s="24"/>
      <c r="G22" s="24"/>
      <c r="H22" s="24"/>
      <c r="I22" s="24"/>
      <c r="J22" s="25">
        <f t="shared" ref="J22:J25" si="2">D22-E22-F22-G22-H22-I22</f>
        <v>6000000</v>
      </c>
      <c r="L22" s="9"/>
      <c r="M22" s="20" t="s">
        <v>27</v>
      </c>
      <c r="N22" s="2">
        <v>30.0</v>
      </c>
      <c r="O22" s="9">
        <f>N11</f>
        <v>200000</v>
      </c>
      <c r="P22" s="9">
        <f t="shared" ref="P22:P24" si="3">N22*O22</f>
        <v>6000000</v>
      </c>
      <c r="Q22" s="24"/>
      <c r="R22" s="24"/>
      <c r="S22" s="24"/>
      <c r="T22" s="24"/>
      <c r="U22" s="24"/>
      <c r="V22" s="25">
        <f t="shared" ref="V22:V24" si="4">P22-Q22-R22-S22-T22-U22</f>
        <v>6000000</v>
      </c>
      <c r="X22" s="9"/>
      <c r="Y22" s="20" t="s">
        <v>27</v>
      </c>
      <c r="Z22" s="2">
        <v>30.0</v>
      </c>
      <c r="AA22" s="9">
        <f>Z11</f>
        <v>200000</v>
      </c>
      <c r="AB22" s="9">
        <f t="shared" ref="AB22:AB25" si="5">Z22*AA22</f>
        <v>6000000</v>
      </c>
      <c r="AC22" s="24"/>
      <c r="AD22" s="24"/>
      <c r="AE22" s="24"/>
      <c r="AF22" s="24"/>
      <c r="AG22" s="24"/>
      <c r="AH22" s="25">
        <f t="shared" ref="AH22:AH25" si="6">AB22-AC22-AD22-AE22-AF22-AG22</f>
        <v>6000000</v>
      </c>
      <c r="AJ22" s="9"/>
      <c r="AK22" s="20" t="s">
        <v>27</v>
      </c>
      <c r="AL22" s="2">
        <v>30.0</v>
      </c>
      <c r="AM22" s="9">
        <f>AL11</f>
        <v>200000</v>
      </c>
      <c r="AN22" s="9">
        <f t="shared" ref="AN22:AN25" si="7">AL22*AM22</f>
        <v>6000000</v>
      </c>
      <c r="AO22" s="24"/>
      <c r="AP22" s="24"/>
      <c r="AQ22" s="24"/>
      <c r="AR22" s="24"/>
      <c r="AS22" s="24"/>
      <c r="AT22" s="25">
        <f t="shared" ref="AT22:AT25" si="8">AN22-AO22-AP22-AQ22-AR22-AS22</f>
        <v>6000000</v>
      </c>
      <c r="AV22" s="9"/>
      <c r="AW22" s="20" t="s">
        <v>27</v>
      </c>
      <c r="AX22" s="2">
        <v>30.0</v>
      </c>
      <c r="AY22" s="9">
        <f>AX11</f>
        <v>200000</v>
      </c>
      <c r="AZ22" s="9">
        <f t="shared" ref="AZ22:AZ24" si="9">AX22*AY22</f>
        <v>6000000</v>
      </c>
      <c r="BA22" s="24"/>
      <c r="BB22" s="24"/>
      <c r="BC22" s="24"/>
      <c r="BD22" s="24"/>
      <c r="BE22" s="24"/>
      <c r="BF22" s="25">
        <f t="shared" ref="BF22:BF25" si="10">AZ22-BA22-BB22-BC22-BD22-BE22</f>
        <v>6000000</v>
      </c>
      <c r="BH22" s="9"/>
      <c r="BI22" s="20" t="s">
        <v>27</v>
      </c>
      <c r="BJ22" s="2">
        <v>30.0</v>
      </c>
      <c r="BK22" s="9">
        <f>BJ11</f>
        <v>200000</v>
      </c>
      <c r="BL22" s="9">
        <f t="shared" ref="BL22:BL26" si="11">BJ22*BK22</f>
        <v>6000000</v>
      </c>
      <c r="BM22" s="24"/>
      <c r="BN22" s="24"/>
      <c r="BO22" s="24"/>
      <c r="BP22" s="24"/>
      <c r="BQ22" s="24"/>
      <c r="BR22" s="25">
        <f t="shared" ref="BR22:BR24" si="12">BL22-BM22-BN22-BO22-BP22-BQ22</f>
        <v>6000000</v>
      </c>
      <c r="BT22" s="19"/>
      <c r="BW22" s="9"/>
      <c r="BZ22" s="9"/>
      <c r="CA22" s="9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N22" s="9"/>
      <c r="CQ22" s="9"/>
      <c r="CR22" s="9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9"/>
      <c r="DH22" s="9"/>
      <c r="DI22" s="9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V22" s="9"/>
      <c r="EM22" s="9"/>
      <c r="FD22" s="9"/>
      <c r="FU22" s="9"/>
      <c r="FV22" s="9"/>
      <c r="FW22" s="9"/>
      <c r="FX22" s="9"/>
      <c r="FY22" s="9"/>
      <c r="FZ22" s="9"/>
      <c r="GA22" s="9"/>
    </row>
    <row r="23">
      <c r="A23" s="23" t="s">
        <v>29</v>
      </c>
      <c r="B23" s="2">
        <v>30.0</v>
      </c>
      <c r="C23" s="9">
        <f>C12</f>
        <v>300000</v>
      </c>
      <c r="D23" s="9">
        <f t="shared" si="1"/>
        <v>9000000</v>
      </c>
      <c r="E23" s="24"/>
      <c r="F23" s="24"/>
      <c r="G23" s="24"/>
      <c r="H23" s="24"/>
      <c r="I23" s="24"/>
      <c r="J23" s="25">
        <f t="shared" si="2"/>
        <v>9000000</v>
      </c>
      <c r="L23" s="9"/>
      <c r="M23" s="20" t="s">
        <v>29</v>
      </c>
      <c r="N23" s="2">
        <v>30.0</v>
      </c>
      <c r="O23" s="9">
        <f>O12</f>
        <v>300000</v>
      </c>
      <c r="P23" s="9">
        <f t="shared" si="3"/>
        <v>9000000</v>
      </c>
      <c r="Q23" s="24"/>
      <c r="R23" s="24"/>
      <c r="S23" s="24"/>
      <c r="T23" s="24"/>
      <c r="U23" s="24"/>
      <c r="V23" s="25">
        <f t="shared" si="4"/>
        <v>9000000</v>
      </c>
      <c r="X23" s="9"/>
      <c r="Y23" s="20" t="s">
        <v>29</v>
      </c>
      <c r="Z23" s="2">
        <v>30.0</v>
      </c>
      <c r="AA23" s="9">
        <f>AA12</f>
        <v>300000</v>
      </c>
      <c r="AB23" s="9">
        <f t="shared" si="5"/>
        <v>9000000</v>
      </c>
      <c r="AC23" s="24"/>
      <c r="AD23" s="24"/>
      <c r="AE23" s="24"/>
      <c r="AF23" s="24"/>
      <c r="AG23" s="24"/>
      <c r="AH23" s="25">
        <f t="shared" si="6"/>
        <v>9000000</v>
      </c>
      <c r="AJ23" s="9"/>
      <c r="AK23" s="20" t="s">
        <v>29</v>
      </c>
      <c r="AL23" s="2">
        <v>30.0</v>
      </c>
      <c r="AM23" s="9">
        <f>AM12</f>
        <v>300000</v>
      </c>
      <c r="AN23" s="9">
        <f t="shared" si="7"/>
        <v>9000000</v>
      </c>
      <c r="AO23" s="24"/>
      <c r="AP23" s="24"/>
      <c r="AQ23" s="24"/>
      <c r="AR23" s="24"/>
      <c r="AS23" s="24"/>
      <c r="AT23" s="25">
        <f t="shared" si="8"/>
        <v>9000000</v>
      </c>
      <c r="AV23" s="9"/>
      <c r="AW23" s="20" t="s">
        <v>29</v>
      </c>
      <c r="AX23" s="2">
        <v>30.0</v>
      </c>
      <c r="AY23" s="9">
        <f>AY12</f>
        <v>300000</v>
      </c>
      <c r="AZ23" s="9">
        <f t="shared" si="9"/>
        <v>9000000</v>
      </c>
      <c r="BA23" s="24"/>
      <c r="BB23" s="24"/>
      <c r="BC23" s="24"/>
      <c r="BD23" s="24"/>
      <c r="BE23" s="24"/>
      <c r="BF23" s="25">
        <f t="shared" si="10"/>
        <v>9000000</v>
      </c>
      <c r="BH23" s="9"/>
      <c r="BI23" s="20" t="s">
        <v>29</v>
      </c>
      <c r="BJ23" s="2">
        <v>30.0</v>
      </c>
      <c r="BK23" s="9">
        <f>BK12</f>
        <v>300000</v>
      </c>
      <c r="BL23" s="9">
        <f t="shared" si="11"/>
        <v>9000000</v>
      </c>
      <c r="BM23" s="24"/>
      <c r="BN23" s="24"/>
      <c r="BO23" s="24"/>
      <c r="BP23" s="24"/>
      <c r="BQ23" s="24"/>
      <c r="BR23" s="25">
        <f t="shared" si="12"/>
        <v>9000000</v>
      </c>
      <c r="BT23" s="19"/>
      <c r="BW23" s="9"/>
      <c r="BZ23" s="9"/>
      <c r="CA23" s="9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N23" s="9"/>
      <c r="CQ23" s="9"/>
      <c r="CR23" s="9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E23" s="9"/>
      <c r="DH23" s="9"/>
      <c r="DI23" s="9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V23" s="9"/>
      <c r="DY23" s="9"/>
      <c r="DZ23" s="9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M23" s="9"/>
      <c r="EP23" s="9"/>
      <c r="EQ23" s="9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D23" s="9"/>
      <c r="FG23" s="9"/>
      <c r="FH23" s="9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U23" s="9"/>
      <c r="FV23" s="9"/>
      <c r="FW23" s="9"/>
      <c r="FX23" s="9"/>
      <c r="FY23" s="9"/>
      <c r="FZ23" s="9"/>
      <c r="GA23" s="9"/>
    </row>
    <row r="24">
      <c r="A24" s="23" t="s">
        <v>54</v>
      </c>
      <c r="B24" s="2">
        <v>30.0</v>
      </c>
      <c r="C24" s="9">
        <f>D13</f>
        <v>180000</v>
      </c>
      <c r="D24" s="9">
        <f t="shared" si="1"/>
        <v>5400000</v>
      </c>
      <c r="E24" s="24"/>
      <c r="F24" s="24"/>
      <c r="G24" s="24"/>
      <c r="H24" s="24"/>
      <c r="I24" s="24"/>
      <c r="J24" s="25">
        <f t="shared" si="2"/>
        <v>5400000</v>
      </c>
      <c r="L24" s="9"/>
      <c r="M24" s="20" t="s">
        <v>54</v>
      </c>
      <c r="N24" s="2">
        <v>30.0</v>
      </c>
      <c r="O24" s="9">
        <f>P13</f>
        <v>180000</v>
      </c>
      <c r="P24" s="9">
        <f t="shared" si="3"/>
        <v>5400000</v>
      </c>
      <c r="Q24" s="24"/>
      <c r="R24" s="24"/>
      <c r="S24" s="24"/>
      <c r="T24" s="24"/>
      <c r="U24" s="24"/>
      <c r="V24" s="25">
        <f t="shared" si="4"/>
        <v>5400000</v>
      </c>
      <c r="X24" s="9"/>
      <c r="Y24" s="20" t="s">
        <v>54</v>
      </c>
      <c r="Z24" s="2">
        <v>30.0</v>
      </c>
      <c r="AA24" s="9">
        <f>AB13</f>
        <v>180000</v>
      </c>
      <c r="AB24" s="9">
        <f t="shared" si="5"/>
        <v>5400000</v>
      </c>
      <c r="AC24" s="24"/>
      <c r="AD24" s="24"/>
      <c r="AE24" s="24"/>
      <c r="AF24" s="24"/>
      <c r="AG24" s="24"/>
      <c r="AH24" s="25">
        <f t="shared" si="6"/>
        <v>5400000</v>
      </c>
      <c r="AJ24" s="9"/>
      <c r="AK24" s="20" t="s">
        <v>54</v>
      </c>
      <c r="AL24" s="2">
        <v>30.0</v>
      </c>
      <c r="AM24" s="9">
        <f>AN13</f>
        <v>180000</v>
      </c>
      <c r="AN24" s="9">
        <f t="shared" si="7"/>
        <v>5400000</v>
      </c>
      <c r="AO24" s="24"/>
      <c r="AP24" s="24"/>
      <c r="AQ24" s="24"/>
      <c r="AR24" s="24"/>
      <c r="AS24" s="24"/>
      <c r="AT24" s="25">
        <f t="shared" si="8"/>
        <v>5400000</v>
      </c>
      <c r="AV24" s="9"/>
      <c r="AW24" s="20" t="s">
        <v>54</v>
      </c>
      <c r="AX24" s="2">
        <v>30.0</v>
      </c>
      <c r="AY24" s="9">
        <f>AZ13</f>
        <v>180000</v>
      </c>
      <c r="AZ24" s="9">
        <f t="shared" si="9"/>
        <v>5400000</v>
      </c>
      <c r="BA24" s="24"/>
      <c r="BB24" s="24"/>
      <c r="BC24" s="24"/>
      <c r="BD24" s="24"/>
      <c r="BE24" s="24"/>
      <c r="BF24" s="25">
        <f t="shared" si="10"/>
        <v>5400000</v>
      </c>
      <c r="BH24" s="9"/>
      <c r="BI24" s="20" t="s">
        <v>54</v>
      </c>
      <c r="BJ24" s="2">
        <v>30.0</v>
      </c>
      <c r="BK24" s="9">
        <f>BL13</f>
        <v>180000</v>
      </c>
      <c r="BL24" s="9">
        <f t="shared" si="11"/>
        <v>5400000</v>
      </c>
      <c r="BM24" s="24"/>
      <c r="BN24" s="24"/>
      <c r="BO24" s="24"/>
      <c r="BP24" s="24"/>
      <c r="BQ24" s="24"/>
      <c r="BR24" s="25">
        <f t="shared" si="12"/>
        <v>5400000</v>
      </c>
      <c r="BT24" s="19"/>
      <c r="BW24" s="9"/>
      <c r="BZ24" s="9"/>
      <c r="CA24" s="9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N24" s="9"/>
      <c r="CO24" s="2"/>
      <c r="CQ24" s="9"/>
      <c r="CR24" s="9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9"/>
      <c r="DH24" s="9"/>
      <c r="DI24" s="9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V24" s="9"/>
      <c r="DY24" s="9"/>
      <c r="DZ24" s="9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M24" s="9"/>
      <c r="EP24" s="9"/>
      <c r="EQ24" s="9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D24" s="9"/>
      <c r="FG24" s="9"/>
      <c r="FH24" s="9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U24" s="9"/>
      <c r="FV24" s="9"/>
      <c r="FW24" s="9"/>
      <c r="FX24" s="9"/>
      <c r="FY24" s="9"/>
      <c r="FZ24" s="9"/>
      <c r="GA24" s="9"/>
    </row>
    <row r="25">
      <c r="A25" s="2" t="s">
        <v>79</v>
      </c>
      <c r="B25" s="45">
        <f>IF(IF(SUM($B$22:$B$24)&gt;=$B$7, SUM($E$3:$E$7),IF(SUM($B$22:$B$24)&gt;=$B$6, SUM($E$3:$E$6),IF(SUM($B$22:$B$24)&gt;=$B$5, SUM($E$3:$E$5),IF(SUM($B$22:$B$24)&gt;=$B$4, SUM($E$3:$E$4),IF(SUM($B$22:$B$24)&gt;=$B$3, SUM($E$3),"0")))))&gt;E17, "0", IF(SUM($B$22:$B$24)&gt;=$B$7, SUM($E$3:$E$7),IF(SUM($B$22:$B$24)&gt;=$B$6, SUM($E$3:$E$6),IF(SUM($B$22:$B$24)&gt;=$B$5, SUM($E$3:$E$5),IF(SUM($B$22:$B$24)&gt;=$B$4, SUM($E$3:$E$4),IF(SUM($B$22:$B$24)&gt;=$B$3, SUM($E$3),"0"))))))</f>
        <v>15</v>
      </c>
      <c r="C25" s="25">
        <f>B17</f>
        <v>100000</v>
      </c>
      <c r="D25" s="25">
        <f t="shared" si="1"/>
        <v>1500000</v>
      </c>
      <c r="E25" s="23">
        <f>IF(SUM($B$22:$B$24)&gt;=$B3, $E3, "0")*$B$17</f>
        <v>100000</v>
      </c>
      <c r="F25" s="23">
        <f>IF(SUM($B$22:$B$24)&gt;=$B4, $E4, "0")*$B$17</f>
        <v>200000</v>
      </c>
      <c r="G25" s="23">
        <f>IF(SUM($B$22:$B$24)&gt;=$B5, $E5, "0")*$B$17</f>
        <v>300000</v>
      </c>
      <c r="H25" s="23">
        <f>IF(SUM($B$22:$B$24)&gt;=$B6, $E6, "0")*$B$17</f>
        <v>400000</v>
      </c>
      <c r="I25" s="23">
        <f>IF(SUM($B$22:$B$24)&gt;=$B7, $E7, "0")*$B$17</f>
        <v>500000</v>
      </c>
      <c r="J25" s="25">
        <f t="shared" si="2"/>
        <v>0</v>
      </c>
      <c r="M25" s="18" t="s">
        <v>79</v>
      </c>
      <c r="N25" s="46" t="str">
        <f>IF(IF(SUM($N$22:$N$24)&gt;=$N$7, SUM($Q$3:$Q$7),IF(SUM($N$22:$N$24)&gt;=$N$6, SUM($Q$3:$Q$6),IF(SUM($N$22:$N$24)&gt;=$N$5, SUM($Q$3:$Q$5),IF(SUM($N$22:$N$24)&gt;=$N$4, SUM($Q$3:$Q$4),IF(SUM($N$22:$N$24)&gt;=$N$3, SUM($Q$3),"0")))))&gt;Q$17, "0", IF(SUM($N$22:$N$24)&gt;=$N$7, SUM($Q$3:$Q$7),IF(SUM($N$22:$N$24)&gt;=$N$6, SUM($Q$3:$Q$6),IF(SUM($N$22:$N$24)&gt;=$N$5, SUM($Q$3:$Q$5),IF(SUM($N$22:$N$24)&gt;=$N$4, SUM($Q$3:$Q$4),IF(SUM($N$22:$N$24)&gt;=$Q$3, SUM($Q$3),"0"))))))</f>
        <v>0</v>
      </c>
      <c r="Y25" s="18" t="s">
        <v>79</v>
      </c>
      <c r="Z25" s="45">
        <f>IF(IF(IF(SUM($Z$22:$Z$24)&gt;=$Z$7, SUM($AC$3:$AC$7),IF(SUM($Z$22:$Z$24)&gt;=$Z$6, SUM($AC$3:$AC$6),IF(SUM($Z$22:$Z$24)&gt;=$Z$5, SUM($AC$3:$AC$5),IF(SUM($Z$22:$Z$24)&gt;=$Z$4, SUM($AC$3:$AC$4),IF(SUM($Z$22:$Z$24)&gt;=$Z$3, SUM($AC$3),"0")))))&gt;AC$17, "0", IF(SUM($Z$22:$Z$24)&gt;=$Z$7, SUM($AC$3:$AC$7),IF(SUM($Z$22:$Z$24)&gt;=$Z$6, SUM($AC$3:$AC$6),IF(SUM($Z$22:$Z$24)&gt;=$Z$5, SUM($AC$3:$AC$5),IF(SUM($Z$22:$Z$24)&gt;=$Z$4, SUM($AC$3:$AC$4),IF(SUM($Z$22:$Z$24)&gt;=$AC$3, SUM($AC$3),"0"))))))&gt;(Y$19-AC$19), 0, IF(IF(SUM($Z$22:$Z$24)&gt;=$Z$7, SUM($AC$3:$AC$7),IF(SUM($Z$22:$Z$24)&gt;=$Z$6, SUM($AC$3:$AC$6),IF(SUM($Z$22:$Z$24)&gt;=$Z$5, SUM($AC$3:$AC$5),IF(SUM($Z$22:$Z$24)&gt;=$Z$4, SUM($AC$3:$AC$4),IF(SUM($Z$22:$Z$24)&gt;=$Z$3, SUM($AC$3),"0")))))&gt;AC$17, "0", IF(SUM($Z$22:$Z$24)&gt;=$Z$7, SUM($AC$3:$AC$7),IF(SUM($Z$22:$Z$24)&gt;=$Z$6, SUM($AC$3:$AC$6),IF(SUM($Z$22:$Z$24)&gt;=$Z$5, SUM($AC$3:$AC$5),IF(SUM($Z$22:$Z$24)&gt;=$Z$4, SUM($AC$3:$AC$4),IF(SUM($Z$22:$Z$24)&gt;=$AC$3, SUM($AC$3),"0")))))))</f>
        <v>15</v>
      </c>
      <c r="AA25" s="25">
        <f>Z17</f>
        <v>100000</v>
      </c>
      <c r="AB25" s="23">
        <f t="shared" si="5"/>
        <v>1500000</v>
      </c>
      <c r="AC25" s="23">
        <f>IF(SUM($Z$22:$Z$24)&gt;=$Z3, $AC3, "0")*$Z$17</f>
        <v>100000</v>
      </c>
      <c r="AD25" s="23">
        <f>IF(SUM($Z$22:$Z$24)&gt;=$Z4, $AC4, "0")*$Z$17</f>
        <v>200000</v>
      </c>
      <c r="AE25" s="23">
        <f>IF(SUM($Z$22:$Z$24)&gt;=$Z5, $AC5, "0")*$Z$17</f>
        <v>300000</v>
      </c>
      <c r="AF25" s="23">
        <f>IF(SUM($Z$22:$Z$24)&gt;=$Z6, $AC6, "0")*$Z$17</f>
        <v>400000</v>
      </c>
      <c r="AG25" s="23">
        <f>IF(SUM($Z$22:$Z$24)&gt;=$Z7, $AC7, "0")*$Z$17</f>
        <v>500000</v>
      </c>
      <c r="AH25" s="23">
        <f t="shared" si="6"/>
        <v>0</v>
      </c>
      <c r="AK25" s="18" t="s">
        <v>79</v>
      </c>
      <c r="AL25" s="46">
        <f>IF(IF(IF(SUM(AL$22:AL$24)&gt;=AL$7, SUM(AO$3:AO$7),IF(SUM(AL$22:AL$24)&gt;=AL$6, SUM(AO$3:AO$6),IF(SUM(AL$22:AL$24)&gt;=AL$5, SUM(AO$3:AO$5),IF(SUM(AL$22:AL$24)&gt;=AL$4, SUM(AO$3:AO$4),IF(SUM(AL$22:AL$24)&gt;=AL$3, SUM(AO$3),"0")))))&gt;AO$17, "0", IF(SUM(AL$22:AL$24)&gt;=AL$7, SUM(AO$3:AO$7),IF(SUM(AL$22:AL$24)&gt;=AL$6, SUM(AO$3:AO$6),IF(SUM(AL$22:AL$24)&gt;=AL$5, SUM(AO$3:AO$5),IF(SUM(AL$22:AL$24)&gt;=AL$4, SUM(AO$3:AO$4),IF(SUM(AL$22:AL$24)&gt;=AO$3, SUM(AO$3),"0"))))))&gt;(AK$19-AO$19), 0, IF(IF(SUM(AL$22:AL$24)&gt;=AL$7, SUM(AO$3:AO$7),IF(SUM(AL$22:AL$24)&gt;=AL$6, SUM(AO$3:AO$6),IF(SUM(AL$22:AL$24)&gt;=AL$5, SUM(AO$3:AO$5),IF(SUM(AL$22:AL$24)&gt;=$AL$4, SUM(AO$3:AO$4),IF(SUM(AL$22:AL$24)&gt;=AL$3, SUM(AO$3),"0")))))&gt;AO$17, "0", IF(SUM(AL$22:AL$24)&gt;=AL$7, SUM(AO$3:AO$7),IF(SUM(AL$22:AL$24)&gt;=AL$6, SUM(AO$3:AO$6),IF(SUM(AL$22:AL$24)&gt;=AL$5, SUM(AO$3:AO$5),IF(SUM(AL$22:AL$24)&gt;=AL$4, SUM(AO$3:AO$4),IF(SUM(AL$22:AL$24)&gt;=AO$3, SUM(AO$3),"0")))))))</f>
        <v>0</v>
      </c>
      <c r="AM25" s="25">
        <f>AL17</f>
        <v>100000</v>
      </c>
      <c r="AN25" s="23">
        <f t="shared" si="7"/>
        <v>0</v>
      </c>
      <c r="AT25" s="23">
        <f t="shared" si="8"/>
        <v>0</v>
      </c>
      <c r="AW25" s="18"/>
      <c r="AX25" s="46"/>
      <c r="BF25" s="23">
        <f t="shared" si="10"/>
        <v>0</v>
      </c>
      <c r="BI25" s="18" t="s">
        <v>80</v>
      </c>
      <c r="BJ25" s="47">
        <v>9.0</v>
      </c>
      <c r="BK25" s="25">
        <f t="shared" ref="BK25:BK26" si="13">BJ16</f>
        <v>150000</v>
      </c>
      <c r="BL25" s="25">
        <f t="shared" si="11"/>
        <v>1350000</v>
      </c>
      <c r="BM25" s="25">
        <f>BK25*BM3</f>
        <v>150000</v>
      </c>
      <c r="BN25" s="25">
        <f>BM4*BK25</f>
        <v>300000</v>
      </c>
      <c r="BO25" s="25">
        <f>BK25*BM5</f>
        <v>450000</v>
      </c>
      <c r="BP25" s="25">
        <f>3*BK25</f>
        <v>450000</v>
      </c>
      <c r="BQ25" s="25"/>
      <c r="BR25" s="9">
        <f>BL25-BM25-BN25-BO25-BP25</f>
        <v>0</v>
      </c>
      <c r="BT25" s="4"/>
      <c r="CA25" s="26"/>
      <c r="CB25" s="26"/>
      <c r="CC25" s="26"/>
      <c r="CD25" s="26"/>
      <c r="CE25" s="26"/>
      <c r="CF25" s="26"/>
      <c r="CG25" s="26"/>
      <c r="CH25" s="27"/>
      <c r="CI25" s="27"/>
      <c r="CJ25" s="26"/>
      <c r="CK25" s="26"/>
      <c r="CR25" s="26"/>
      <c r="CS25" s="26"/>
      <c r="CT25" s="26"/>
      <c r="CU25" s="26"/>
      <c r="CV25" s="26"/>
      <c r="CW25" s="26"/>
      <c r="CX25" s="26"/>
      <c r="CY25" s="27"/>
      <c r="CZ25" s="27"/>
      <c r="DA25" s="26"/>
      <c r="DB25" s="26"/>
      <c r="DI25" s="26"/>
      <c r="DJ25" s="26"/>
      <c r="DK25" s="26"/>
      <c r="DL25" s="26"/>
      <c r="DM25" s="26"/>
      <c r="DN25" s="26"/>
      <c r="DO25" s="26"/>
      <c r="DP25" s="27"/>
      <c r="DQ25" s="27"/>
      <c r="DR25" s="26"/>
      <c r="DS25" s="26"/>
      <c r="DY25" s="9"/>
      <c r="DZ25" s="9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P25" s="9"/>
      <c r="EQ25" s="9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G25" s="9"/>
      <c r="FH25" s="9"/>
      <c r="FI25" s="24"/>
      <c r="FJ25" s="24"/>
      <c r="FK25" s="24"/>
      <c r="FL25" s="24"/>
      <c r="FM25" s="24"/>
      <c r="FN25" s="24"/>
      <c r="FO25" s="24"/>
      <c r="FP25" s="24"/>
      <c r="FQ25" s="24"/>
      <c r="FR25" s="24"/>
    </row>
    <row r="26">
      <c r="A26" s="2"/>
      <c r="M26" s="18"/>
      <c r="N26" s="46"/>
      <c r="Y26" s="18"/>
      <c r="AK26" s="18"/>
      <c r="AW26" s="18"/>
      <c r="BI26" s="18" t="s">
        <v>79</v>
      </c>
      <c r="BJ26" s="2">
        <v>6.0</v>
      </c>
      <c r="BK26" s="25">
        <f t="shared" si="13"/>
        <v>150000</v>
      </c>
      <c r="BL26" s="23">
        <f t="shared" si="11"/>
        <v>900000</v>
      </c>
      <c r="BP26" s="9">
        <f>BK26*1</f>
        <v>150000</v>
      </c>
      <c r="BQ26" s="25">
        <f>BK26*BM7</f>
        <v>750000</v>
      </c>
      <c r="BR26" s="9">
        <f>BL26-BP26-BQ26</f>
        <v>0</v>
      </c>
      <c r="BT26" s="4"/>
      <c r="CA26" s="26"/>
      <c r="CB26" s="26"/>
      <c r="CC26" s="26"/>
      <c r="CD26" s="26"/>
      <c r="CE26" s="26"/>
      <c r="CF26" s="26"/>
      <c r="CG26" s="26"/>
      <c r="CH26" s="27"/>
      <c r="CI26" s="27"/>
      <c r="CJ26" s="26"/>
      <c r="CK26" s="26"/>
      <c r="CR26" s="26"/>
      <c r="CS26" s="26"/>
      <c r="CT26" s="26"/>
      <c r="CU26" s="26"/>
      <c r="CV26" s="26"/>
      <c r="CW26" s="26"/>
      <c r="CX26" s="26"/>
      <c r="CY26" s="27"/>
      <c r="CZ26" s="27"/>
      <c r="DA26" s="26"/>
      <c r="DB26" s="26"/>
      <c r="DI26" s="26"/>
      <c r="DJ26" s="26"/>
      <c r="DK26" s="26"/>
      <c r="DL26" s="26"/>
      <c r="DM26" s="26"/>
      <c r="DN26" s="26"/>
      <c r="DO26" s="26"/>
      <c r="DP26" s="27"/>
      <c r="DQ26" s="27"/>
      <c r="DR26" s="26"/>
      <c r="DS26" s="26"/>
      <c r="DY26" s="9"/>
      <c r="DZ26" s="9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P26" s="9"/>
      <c r="EQ26" s="9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G26" s="9"/>
      <c r="FH26" s="9"/>
      <c r="FI26" s="24"/>
      <c r="FJ26" s="24"/>
      <c r="FK26" s="24"/>
      <c r="FL26" s="24"/>
      <c r="FM26" s="24"/>
      <c r="FN26" s="24"/>
      <c r="FO26" s="24"/>
      <c r="FP26" s="24"/>
      <c r="FQ26" s="24"/>
      <c r="FR26" s="24"/>
    </row>
    <row r="27">
      <c r="A27" s="2"/>
      <c r="M27" s="18"/>
      <c r="Y27" s="18"/>
      <c r="AK27" s="18"/>
      <c r="AW27" s="18" t="s">
        <v>81</v>
      </c>
      <c r="BI27" s="18"/>
      <c r="BT27" s="4"/>
      <c r="CA27" s="26"/>
      <c r="CB27" s="26"/>
      <c r="CC27" s="26"/>
      <c r="CD27" s="26"/>
      <c r="CE27" s="26"/>
      <c r="CF27" s="26"/>
      <c r="CG27" s="26"/>
      <c r="CH27" s="27"/>
      <c r="CI27" s="27"/>
      <c r="CJ27" s="26"/>
      <c r="CK27" s="26"/>
      <c r="CR27" s="26"/>
      <c r="CS27" s="26"/>
      <c r="CT27" s="26"/>
      <c r="CU27" s="26"/>
      <c r="CV27" s="26"/>
      <c r="CW27" s="26"/>
      <c r="CX27" s="26"/>
      <c r="CY27" s="27"/>
      <c r="CZ27" s="27"/>
      <c r="DA27" s="26"/>
      <c r="DB27" s="26"/>
      <c r="DI27" s="26"/>
      <c r="DJ27" s="26"/>
      <c r="DK27" s="26"/>
      <c r="DL27" s="26"/>
      <c r="DM27" s="26"/>
      <c r="DN27" s="26"/>
      <c r="DO27" s="26"/>
      <c r="DP27" s="27"/>
      <c r="DQ27" s="27"/>
      <c r="DR27" s="26"/>
      <c r="DS27" s="26"/>
      <c r="DY27" s="9"/>
      <c r="DZ27" s="9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P27" s="9"/>
      <c r="EQ27" s="9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G27" s="9"/>
      <c r="FH27" s="9"/>
      <c r="FI27" s="24"/>
      <c r="FJ27" s="24"/>
      <c r="FK27" s="24"/>
      <c r="FL27" s="24"/>
      <c r="FM27" s="24"/>
      <c r="FN27" s="24"/>
      <c r="FO27" s="24"/>
      <c r="FP27" s="24"/>
      <c r="FQ27" s="24"/>
      <c r="FR27" s="24"/>
    </row>
    <row r="28">
      <c r="H28" s="9"/>
      <c r="J28" s="2" t="s">
        <v>57</v>
      </c>
      <c r="K28" s="25">
        <f>SUM(D22:D25)</f>
        <v>21900000</v>
      </c>
      <c r="M28" s="20"/>
      <c r="T28" s="9"/>
      <c r="V28" s="2" t="s">
        <v>57</v>
      </c>
      <c r="W28" s="25">
        <f>SUM(P22:P24)</f>
        <v>20400000</v>
      </c>
      <c r="Y28" s="20"/>
      <c r="AF28" s="9"/>
      <c r="AH28" s="2" t="s">
        <v>57</v>
      </c>
      <c r="AI28" s="25">
        <f>SUM(AB22:AB25)</f>
        <v>21900000</v>
      </c>
      <c r="AK28" s="20"/>
      <c r="AR28" s="9"/>
      <c r="AT28" s="2" t="s">
        <v>57</v>
      </c>
      <c r="AU28" s="25">
        <f>SUM(AN22:AN25)</f>
        <v>20400000</v>
      </c>
      <c r="AW28" s="20"/>
      <c r="BD28" s="9"/>
      <c r="BF28" s="2" t="s">
        <v>57</v>
      </c>
      <c r="BG28" s="25">
        <f>SUM(AZ22:AZ24)</f>
        <v>20400000</v>
      </c>
      <c r="BI28" s="18" t="s">
        <v>82</v>
      </c>
      <c r="BP28" s="9"/>
      <c r="BR28" s="2" t="s">
        <v>57</v>
      </c>
      <c r="BS28" s="25">
        <f>SUM(BL22:BL26)</f>
        <v>22650000</v>
      </c>
      <c r="BT28" s="4"/>
      <c r="CH28" s="9"/>
      <c r="CI28" s="9"/>
      <c r="CY28" s="9"/>
      <c r="CZ28" s="9"/>
      <c r="DP28" s="9"/>
      <c r="DQ28" s="9"/>
      <c r="EG28" s="9"/>
      <c r="EH28" s="9"/>
      <c r="EX28" s="9"/>
      <c r="EY28" s="9"/>
      <c r="FO28" s="9"/>
      <c r="FP28" s="9"/>
    </row>
    <row r="29">
      <c r="H29" s="9"/>
      <c r="J29" s="2" t="s">
        <v>83</v>
      </c>
      <c r="K29" s="25">
        <f>sum(E22:I25)</f>
        <v>1500000</v>
      </c>
      <c r="M29" s="20"/>
      <c r="T29" s="9"/>
      <c r="V29" s="2" t="s">
        <v>83</v>
      </c>
      <c r="W29" s="25">
        <f>sum(Q22:U25)</f>
        <v>0</v>
      </c>
      <c r="Y29" s="20"/>
      <c r="AF29" s="9"/>
      <c r="AH29" s="2" t="s">
        <v>83</v>
      </c>
      <c r="AI29" s="25">
        <f>sum(AC22:AG25)</f>
        <v>1500000</v>
      </c>
      <c r="AK29" s="20"/>
      <c r="AR29" s="9"/>
      <c r="AT29" s="2" t="s">
        <v>83</v>
      </c>
      <c r="AU29" s="25">
        <f>sum(AO22:AS25)</f>
        <v>0</v>
      </c>
      <c r="AW29" s="20"/>
      <c r="BD29" s="9"/>
      <c r="BF29" s="2" t="s">
        <v>83</v>
      </c>
      <c r="BG29" s="25">
        <f>sum(BA22:BE25)</f>
        <v>0</v>
      </c>
      <c r="BI29" s="18" t="s">
        <v>84</v>
      </c>
      <c r="BP29" s="9"/>
      <c r="BR29" s="2" t="s">
        <v>83</v>
      </c>
      <c r="BS29" s="25">
        <f>sum(BM22:BQ26)</f>
        <v>2250000</v>
      </c>
      <c r="BT29" s="4"/>
      <c r="CB29" s="26"/>
      <c r="CH29" s="9"/>
      <c r="CI29" s="9"/>
      <c r="CS29" s="26"/>
      <c r="CY29" s="9"/>
      <c r="CZ29" s="9"/>
      <c r="DJ29" s="26"/>
      <c r="DP29" s="9"/>
      <c r="DQ29" s="9"/>
      <c r="ED29" s="9"/>
      <c r="EG29" s="9"/>
      <c r="EH29" s="9"/>
      <c r="EU29" s="9"/>
      <c r="EX29" s="9"/>
      <c r="EY29" s="9"/>
      <c r="FL29" s="9"/>
      <c r="FO29" s="9"/>
      <c r="FP29" s="9"/>
    </row>
    <row r="30">
      <c r="H30" s="9"/>
      <c r="J30" s="2" t="s">
        <v>62</v>
      </c>
      <c r="K30" s="25">
        <f>(J22*0.11)+(J23*0.11)+(J24*0.11)+(J25*0.11)</f>
        <v>2244000</v>
      </c>
      <c r="M30" s="20"/>
      <c r="T30" s="9"/>
      <c r="V30" s="2" t="s">
        <v>62</v>
      </c>
      <c r="W30" s="25">
        <f>(V22*0.11)+(V23*0.11)+(V24*0.11)+(V25*0.11)</f>
        <v>2244000</v>
      </c>
      <c r="Y30" s="20"/>
      <c r="AF30" s="9"/>
      <c r="AH30" s="2" t="s">
        <v>62</v>
      </c>
      <c r="AI30" s="25">
        <f>(AH22*0.11)+(AH23*0.11)+(AH24*0.11)+(AH25*0.11)</f>
        <v>2244000</v>
      </c>
      <c r="AK30" s="20"/>
      <c r="AR30" s="9"/>
      <c r="AT30" s="2" t="s">
        <v>62</v>
      </c>
      <c r="AU30" s="25">
        <f>(AT22*0.11)+(AT23*0.11)+(AT24*0.11)+(AT25*0.11)</f>
        <v>2244000</v>
      </c>
      <c r="AW30" s="20"/>
      <c r="BD30" s="9"/>
      <c r="BF30" s="2" t="s">
        <v>62</v>
      </c>
      <c r="BG30" s="25">
        <f>(BF22*0.11)+(BF23*0.11)+(BF24*0.11)+(BF25*0.11)</f>
        <v>2244000</v>
      </c>
      <c r="BI30" s="18" t="s">
        <v>85</v>
      </c>
      <c r="BP30" s="9"/>
      <c r="BR30" s="2" t="s">
        <v>62</v>
      </c>
      <c r="BS30" s="25">
        <f>(BR22*0.11)+(BR23*0.11)+(BR24*0.11)+(BR25*0.11)+(BR26*0.11)</f>
        <v>2244000</v>
      </c>
      <c r="BT30" s="4"/>
      <c r="BV30" s="25"/>
      <c r="CH30" s="9"/>
      <c r="CI30" s="9"/>
      <c r="CM30" s="25"/>
      <c r="CY30" s="9"/>
      <c r="CZ30" s="9"/>
      <c r="DD30" s="25"/>
      <c r="DP30" s="9"/>
      <c r="DQ30" s="9"/>
      <c r="DU30" s="25"/>
      <c r="ED30" s="9"/>
      <c r="EG30" s="9"/>
      <c r="EH30" s="9"/>
      <c r="EU30" s="9"/>
      <c r="EX30" s="9"/>
      <c r="EY30" s="9"/>
      <c r="FL30" s="9"/>
      <c r="FO30" s="9"/>
      <c r="FP30" s="9"/>
    </row>
    <row r="31">
      <c r="J31" s="2" t="s">
        <v>63</v>
      </c>
      <c r="K31" s="25">
        <f>K28-K29+K30</f>
        <v>22644000</v>
      </c>
      <c r="M31" s="20"/>
      <c r="V31" s="2" t="s">
        <v>63</v>
      </c>
      <c r="W31" s="25">
        <f>W28-W29+W30</f>
        <v>22644000</v>
      </c>
      <c r="Y31" s="20"/>
      <c r="AH31" s="2" t="s">
        <v>63</v>
      </c>
      <c r="AI31" s="25">
        <f>AI28-AI29+AI30</f>
        <v>22644000</v>
      </c>
      <c r="AK31" s="20"/>
      <c r="AT31" s="2" t="s">
        <v>63</v>
      </c>
      <c r="AU31" s="25">
        <f>AU28-AU29+AU30</f>
        <v>22644000</v>
      </c>
      <c r="AW31" s="20"/>
      <c r="BF31" s="2" t="s">
        <v>63</v>
      </c>
      <c r="BG31" s="25">
        <f>BG28-BG29+BG30</f>
        <v>22644000</v>
      </c>
      <c r="BI31" s="20"/>
      <c r="BR31" s="2" t="s">
        <v>63</v>
      </c>
      <c r="BS31" s="25">
        <f>BS28-BS29+BS30</f>
        <v>22644000</v>
      </c>
      <c r="BT31" s="4"/>
      <c r="EL31" s="25"/>
      <c r="FC31" s="25"/>
      <c r="FT31" s="25"/>
    </row>
    <row r="32">
      <c r="H32" s="9"/>
      <c r="I32" s="28"/>
      <c r="J32" s="29"/>
      <c r="M32" s="20"/>
      <c r="R32" s="28"/>
      <c r="T32" s="9"/>
      <c r="V32" s="2"/>
      <c r="Y32" s="32"/>
      <c r="Z32" s="28"/>
      <c r="AA32" s="28"/>
      <c r="AB32" s="28"/>
      <c r="AC32" s="28"/>
      <c r="AD32" s="28"/>
      <c r="AE32" s="28"/>
      <c r="AF32" s="31"/>
      <c r="AG32" s="28"/>
      <c r="AH32" s="29"/>
      <c r="AI32" s="28"/>
      <c r="AJ32" s="28"/>
      <c r="AK32" s="32"/>
      <c r="AL32" s="28"/>
      <c r="AM32" s="28"/>
      <c r="AN32" s="28"/>
      <c r="AO32" s="28"/>
      <c r="AP32" s="28"/>
      <c r="AQ32" s="28"/>
      <c r="AR32" s="31"/>
      <c r="AS32" s="28"/>
      <c r="AT32" s="29"/>
      <c r="AU32" s="28"/>
      <c r="AV32" s="28"/>
      <c r="AW32" s="32"/>
      <c r="AX32" s="28"/>
      <c r="AY32" s="28"/>
      <c r="AZ32" s="28"/>
      <c r="BA32" s="28"/>
      <c r="BB32" s="28"/>
      <c r="BC32" s="28"/>
      <c r="BD32" s="31"/>
      <c r="BE32" s="28"/>
      <c r="BF32" s="29"/>
      <c r="BG32" s="28"/>
      <c r="BH32" s="28"/>
      <c r="BI32" s="32"/>
      <c r="BJ32" s="28"/>
      <c r="BK32" s="28"/>
      <c r="BL32" s="28"/>
      <c r="BM32" s="28"/>
      <c r="BN32" s="28"/>
      <c r="BO32" s="28"/>
      <c r="BP32" s="31"/>
      <c r="BQ32" s="28"/>
      <c r="BR32" s="29"/>
      <c r="BS32" s="28"/>
      <c r="BT32" s="30"/>
      <c r="BU32" s="2"/>
      <c r="BY32" s="28"/>
      <c r="BZ32" s="28"/>
      <c r="CA32" s="28"/>
      <c r="CB32" s="28"/>
      <c r="CC32" s="28"/>
      <c r="CD32" s="28"/>
      <c r="CE32" s="28"/>
      <c r="CF32" s="28"/>
      <c r="CG32" s="28"/>
      <c r="CH32" s="31"/>
      <c r="CI32" s="31"/>
      <c r="CJ32" s="28"/>
      <c r="CK32" s="28"/>
      <c r="CL32" s="29"/>
      <c r="CM32" s="28"/>
      <c r="CN32" s="28"/>
      <c r="CY32" s="9"/>
      <c r="CZ32" s="9"/>
      <c r="DC32" s="2"/>
      <c r="DP32" s="9"/>
      <c r="DQ32" s="9"/>
      <c r="DT32" s="2"/>
      <c r="EK32" s="2"/>
      <c r="FB32" s="2"/>
      <c r="FS32" s="2"/>
    </row>
    <row r="33">
      <c r="A33" s="34"/>
      <c r="B33" s="34"/>
      <c r="C33" s="34"/>
      <c r="D33" s="34"/>
      <c r="E33" s="34"/>
      <c r="F33" s="34"/>
      <c r="G33" s="34"/>
      <c r="H33" s="34"/>
      <c r="J33" s="34"/>
      <c r="K33" s="34"/>
      <c r="L33" s="34"/>
      <c r="M33" s="34"/>
      <c r="N33" s="34"/>
      <c r="O33" s="34"/>
      <c r="P33" s="34"/>
      <c r="Q33" s="34"/>
      <c r="S33" s="34"/>
      <c r="T33" s="34"/>
      <c r="U33" s="34"/>
      <c r="V33" s="34"/>
      <c r="W33" s="34"/>
      <c r="X33" s="34"/>
      <c r="Y33" s="34"/>
      <c r="Z33" s="34"/>
      <c r="AB33" s="34"/>
      <c r="AC33" s="34"/>
      <c r="AD33" s="34"/>
      <c r="AE33" s="34"/>
      <c r="AF33" s="34"/>
      <c r="AG33" s="34"/>
      <c r="AH33" s="34"/>
      <c r="AI33" s="34"/>
      <c r="AJ33" s="34"/>
    </row>
    <row r="38">
      <c r="AY38" s="25">
        <f>LET(total, SUM(AX$22:AX$24),strata,IF(total&gt;=AX$7, SUM(BA$3:BA$7),IF(total&gt;=AX$6, SUM(BA$3:BA$6),IF(total&gt;=AX$5, SUM(BA$3:BA$5),IF(total&gt;=AX$4, SUM(BA$3:BA$4),IF(total&gt;=AX$3, SUM(BA$3), 0))))),hasil, IF(strata&gt;BA$17, 0, strata),IF(AZ$25 &gt; (AW$19 - BA$19), 0, hasil))</f>
        <v>15</v>
      </c>
    </row>
    <row r="42">
      <c r="AV42" s="2" t="s">
        <v>86</v>
      </c>
    </row>
    <row r="43">
      <c r="AV43" s="45">
        <f>IF(IF(SUM(AX$22:AX$24)&gt;=AX$7, SUM(BA$3:BA$7),IF(SUM(AX$22:AX$24)&gt;=AX$6, SUM(BA$3:BA$6),IF(SUM(AX$22:AX$24)&gt;=AX$5, SUM(BA$3:BA$5),IF(SUM(AX$22:AX$24)&gt;=AX$4, SUM(BA$3:BA$4),IF(SUM(AX$22:AX$24)&gt;=AX$3, SUM(BA$3),"0")))))&gt;BA$17, "0", IF(SUM(AX$22:AX$24)&gt;=AX$7, SUM(BA$3:BA$7),IF(SUM(AX$22:AX$24)&gt;=AX$6, SUM(BA$3:BA$6),IF(SUM(AX$22:AX$24)&gt;=AX$5, SUM(BA$3:BA$5),IF(SUM(AX$22:AX$24)&gt;=AX$4, SUM(BA$3:BA$4),IF(SUM(AX$22:AX$24)&gt;=BA$3, SUM(BA$3),"0"))))))</f>
        <v>15</v>
      </c>
    </row>
    <row r="47">
      <c r="AX47" s="43" t="s">
        <v>77</v>
      </c>
      <c r="AY47" s="36"/>
      <c r="AZ47" s="36"/>
      <c r="BA47" s="44"/>
      <c r="BB47" s="42"/>
    </row>
    <row r="48">
      <c r="AX48" s="22">
        <v>2000000.0</v>
      </c>
      <c r="BB48" s="9">
        <v>700000.0</v>
      </c>
    </row>
  </sheetData>
  <drawing r:id="rId2"/>
  <legacyDrawing r:id="rId3"/>
</worksheet>
</file>